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TECNO\Documents\PERSONAL\Iglesia\"/>
    </mc:Choice>
  </mc:AlternateContent>
  <xr:revisionPtr revIDLastSave="0" documentId="13_ncr:1_{D9928AA6-6B62-4207-A50D-A5FC546F8407}" xr6:coauthVersionLast="47" xr6:coauthVersionMax="47" xr10:uidLastSave="{00000000-0000-0000-0000-000000000000}"/>
  <bookViews>
    <workbookView xWindow="-120" yWindow="-120" windowWidth="21840" windowHeight="13740" xr2:uid="{00000000-000D-0000-FFFF-FFFF00000000}"/>
  </bookViews>
  <sheets>
    <sheet name="03-07-2026 A 09-08-2026" sheetId="1" r:id="rId1"/>
    <sheet name="Hoja2" sheetId="2" state="hidden" r:id="rId2"/>
    <sheet name="Hoja3" sheetId="3" state="hidden" r:id="rId3"/>
    <sheet name="CURRI" sheetId="5" state="hidden" r:id="rId4"/>
    <sheet name="Excluidos" sheetId="8" r:id="rId5"/>
  </sheets>
  <definedNames>
    <definedName name="_xlnm._FilterDatabase" localSheetId="0" hidden="1">'03-07-2026 A 09-08-2026'!$A$22:$AI$121</definedName>
  </definedNames>
  <calcPr calcId="191029" iterate="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F116" i="1" l="1"/>
  <c r="F117" i="1" l="1"/>
  <c r="F113" i="1"/>
  <c r="F112" i="1"/>
  <c r="F111" i="1"/>
  <c r="C131" i="1"/>
  <c r="C129" i="1"/>
  <c r="C126" i="1"/>
  <c r="C124" i="1"/>
  <c r="C123" i="1"/>
  <c r="I23" i="1" l="1" a="1"/>
  <c r="I23" i="1" s="1"/>
  <c r="C19" i="1"/>
  <c r="C11" i="1"/>
  <c r="C13" i="1"/>
  <c r="E129" i="1" l="1"/>
  <c r="E131" i="1"/>
  <c r="J32" i="1"/>
  <c r="C127" i="1"/>
  <c r="E124" i="1"/>
  <c r="Q2" i="1" a="1"/>
  <c r="Q2" i="1" s="1"/>
  <c r="C8" i="1" l="1"/>
  <c r="E126" i="1"/>
  <c r="C9" i="1"/>
  <c r="E127" i="1"/>
  <c r="C6" i="1"/>
  <c r="F6" i="1" s="1"/>
  <c r="E11" i="1"/>
  <c r="E13" i="1"/>
  <c r="F8" i="1" l="1"/>
  <c r="F9" i="1"/>
  <c r="N2" i="1" l="1"/>
  <c r="E123" i="1"/>
  <c r="C16" i="1" s="1"/>
  <c r="C5" i="1" l="1"/>
  <c r="F5" i="1" s="1"/>
  <c r="C17" i="1"/>
  <c r="F17" i="1" s="1"/>
  <c r="F16" i="1" l="1"/>
  <c r="F25" i="1"/>
  <c r="F26" i="1"/>
  <c r="F27" i="1"/>
  <c r="F28" i="1"/>
  <c r="F29" i="1"/>
  <c r="F30" i="1"/>
  <c r="F31" i="1"/>
  <c r="F32" i="1"/>
  <c r="F33" i="1"/>
  <c r="F34" i="1"/>
  <c r="F35" i="1"/>
  <c r="F36" i="1"/>
  <c r="F37" i="1"/>
  <c r="F38" i="1"/>
  <c r="F23" i="1"/>
  <c r="F24" i="1"/>
  <c r="F39" i="1"/>
  <c r="F40" i="1"/>
  <c r="F41" i="1"/>
  <c r="F42" i="1"/>
  <c r="F43" i="1"/>
  <c r="F44" i="1"/>
  <c r="F45" i="1"/>
  <c r="F46" i="1"/>
  <c r="F80" i="1"/>
  <c r="F47" i="1"/>
  <c r="F48" i="1"/>
  <c r="F49" i="1"/>
  <c r="F50" i="1"/>
  <c r="F51" i="1"/>
  <c r="F52" i="1"/>
  <c r="F53" i="1"/>
  <c r="F54" i="1"/>
  <c r="F55" i="1"/>
  <c r="F56" i="1"/>
  <c r="F57" i="1"/>
  <c r="F58" i="1"/>
  <c r="F59" i="1"/>
  <c r="F60" i="1"/>
  <c r="F61" i="1"/>
  <c r="F62" i="1"/>
  <c r="F73" i="1"/>
  <c r="F63" i="1"/>
  <c r="F66" i="1"/>
  <c r="F67" i="1"/>
  <c r="F68" i="1"/>
  <c r="F69" i="1"/>
  <c r="F70" i="1"/>
  <c r="F71" i="1"/>
  <c r="F81" i="1"/>
  <c r="F74" i="1"/>
  <c r="F106" i="1"/>
  <c r="F115" i="1"/>
  <c r="F121" i="1"/>
  <c r="F64" i="1"/>
  <c r="F65" i="1"/>
  <c r="F72" i="1"/>
  <c r="F75" i="1"/>
  <c r="F76" i="1"/>
  <c r="F77" i="1"/>
  <c r="F78" i="1"/>
  <c r="F79" i="1"/>
  <c r="F82" i="1"/>
  <c r="F83" i="1"/>
  <c r="F84" i="1"/>
  <c r="F85" i="1"/>
  <c r="F86" i="1"/>
  <c r="F87" i="1"/>
  <c r="F88" i="1"/>
  <c r="F89" i="1"/>
  <c r="F90" i="1"/>
  <c r="F91" i="1"/>
  <c r="F92" i="1"/>
  <c r="F93" i="1"/>
  <c r="F94" i="1"/>
  <c r="F95" i="1"/>
  <c r="F96" i="1"/>
  <c r="F97" i="1"/>
  <c r="F98" i="1"/>
  <c r="F99" i="1"/>
  <c r="F100" i="1"/>
  <c r="F101" i="1"/>
  <c r="F102" i="1"/>
  <c r="F103" i="1"/>
  <c r="F104" i="1"/>
  <c r="F105" i="1"/>
  <c r="F107" i="1"/>
  <c r="F108" i="1"/>
  <c r="F109" i="1"/>
  <c r="F110" i="1"/>
  <c r="F114" i="1"/>
  <c r="F118" i="1"/>
  <c r="F119" i="1"/>
  <c r="F120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TECNO</author>
  </authors>
  <commentList>
    <comment ref="J8" authorId="0" shapeId="0" xr:uid="{BF58FB0A-8BC9-4C1C-BF88-8D3B489D3B7B}">
      <text>
        <r>
          <rPr>
            <b/>
            <sz val="8"/>
            <color indexed="81"/>
            <rFont val="Tahoma"/>
            <family val="2"/>
          </rPr>
          <t xml:space="preserve">PARA QUE FUNCIONE TIENE QUE ESTAR ABIERTO EL GOOGLE SHEETS EN EL NAVEGADOR </t>
        </r>
        <r>
          <rPr>
            <b/>
            <sz val="9"/>
            <color indexed="81"/>
            <rFont val="Tahoma"/>
            <charset val="1"/>
          </rPr>
          <t>CONFIGURADO EXCEL Y GOOGLE SHEETS PARA LA CONEXIÓN ENTRE AMBAS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<sst xmlns="http://schemas.openxmlformats.org/spreadsheetml/2006/main" count="504" uniqueCount="175">
  <si>
    <t>N°</t>
  </si>
  <si>
    <t>Nombre</t>
  </si>
  <si>
    <t>Célula</t>
  </si>
  <si>
    <t>Servicio</t>
  </si>
  <si>
    <t>Lista despegable</t>
  </si>
  <si>
    <t>SI</t>
  </si>
  <si>
    <t>NO</t>
  </si>
  <si>
    <t>Estado</t>
  </si>
  <si>
    <t>CEL</t>
  </si>
  <si>
    <t>Tema impartido en el Servicio:</t>
  </si>
  <si>
    <t>TOTAL ASISTENCIA A CÉLULAS EN GENERAL</t>
  </si>
  <si>
    <t>TOTAL INASISTENCIA A CÉLULAS EN GENERAL</t>
  </si>
  <si>
    <t>Personas</t>
  </si>
  <si>
    <t>TOTAL ASISTENCIA A SERVICIO EN GENERAL</t>
  </si>
  <si>
    <t>TOTAL INASISTENCIA A SERVICIO EN GENERAL</t>
  </si>
  <si>
    <t xml:space="preserve">TOTAL ASISTENCIAS A CÉLULAS </t>
  </si>
  <si>
    <t xml:space="preserve">TOTAL INASISTENCIAS A CÉLULAS </t>
  </si>
  <si>
    <t xml:space="preserve">TOTAL ASISTENCIAS A SERVICIO </t>
  </si>
  <si>
    <t xml:space="preserve">TOTAL INASISTENCIAS A SERVICIO </t>
  </si>
  <si>
    <t>Promedio asistente servicio (%)</t>
  </si>
  <si>
    <t>Promedio Inasistente servicio (%)</t>
  </si>
  <si>
    <t>NIÑO</t>
  </si>
  <si>
    <t>Carmen Gutierrez</t>
  </si>
  <si>
    <t>LAN</t>
  </si>
  <si>
    <t>TOTAL PERSONAS REGISTRADAS</t>
  </si>
  <si>
    <t>Promedio asistencia a Servicio (%)</t>
  </si>
  <si>
    <t>Promedio Inasistencia a Servicio (%)</t>
  </si>
  <si>
    <t>Promedio de nuevos p/ servicio</t>
  </si>
  <si>
    <t>LIDER</t>
  </si>
  <si>
    <t>PEN LAN</t>
  </si>
  <si>
    <t>DOM</t>
  </si>
  <si>
    <t>Promedio de nuevos p/ célula</t>
  </si>
  <si>
    <t>TOTAL NUEVOS POR CÉLULA</t>
  </si>
  <si>
    <t>TOTAL NUEVOS POR SERVICIO</t>
  </si>
  <si>
    <t>: Pedido de Compras para Insumos, Repuestos y Materiales</t>
  </si>
  <si>
    <t xml:space="preserve">Entradas por Devolución de Repuestos Circulantes Reparados </t>
  </si>
  <si>
    <t>Entradas por Devolución de Repuestos Capitalizables Reparados al Almacén</t>
  </si>
  <si>
    <t>Movimientos por Generación y Cancelación de Préstamos de Herramientas</t>
  </si>
  <si>
    <t>Crear ubicaciones (MEI-4.1-I-02)</t>
  </si>
  <si>
    <t>Aprobación</t>
  </si>
  <si>
    <t>Modificar ubicaciones (MEI-4.1-I-03)</t>
  </si>
  <si>
    <t>Requisición de Artículos (MEI-9-R-01)</t>
  </si>
  <si>
    <t>Fichas Control de Repuestos Reparados (MEI-9-R-02)</t>
  </si>
  <si>
    <t>Nota de Devolución de Materiales (SAP) (MEI-9-R-04)</t>
  </si>
  <si>
    <t>Material Rechazado (Calcomanía) (Insumo) (MEI-9-R-06)</t>
  </si>
  <si>
    <t>Nota de Despacho (MEI-9-R-07)</t>
  </si>
  <si>
    <t>Despacho de Repuestos Capitalizables (MEI-9-R-08)</t>
  </si>
  <si>
    <t>Traspaso de Materiales entre Almacenes (MEI-9-R-09)</t>
  </si>
  <si>
    <t>Consultar existencia teórica de materiales e insumos (MEI-11-I-01)</t>
  </si>
  <si>
    <t>Cambio de ubicación de insumos o materiales (MEI-11-I-02)</t>
  </si>
  <si>
    <t>Visualizar Necesidad de Transporte - Crear Orden de Transporte - Confirmar Orden de Transporte (MEI-9.5-I-01)</t>
  </si>
  <si>
    <t>Imprimir nota de devolución de insumos (MEI-9.5-I-02)</t>
  </si>
  <si>
    <t>ACA</t>
  </si>
  <si>
    <t>TOTAL ASISTENCIA A CÉLULA Y SERVICIO</t>
  </si>
  <si>
    <t>TOTAL INASISTENCIA A CÉLULA Y SERVICIO</t>
  </si>
  <si>
    <t xml:space="preserve">Promedio asistente </t>
  </si>
  <si>
    <t xml:space="preserve">Promedio Inasistente </t>
  </si>
  <si>
    <t>TOTAL ASISTENCIA A CÉLULA Y SERVICIO TOTAL</t>
  </si>
  <si>
    <t>TOTAL INASISTENCIA A CÉLULA Y SERVICIO  TOTAL</t>
  </si>
  <si>
    <t>MINISTRO</t>
  </si>
  <si>
    <t>Carlos Navarro</t>
  </si>
  <si>
    <t>PASTOR</t>
  </si>
  <si>
    <t>Fecha auto</t>
  </si>
  <si>
    <t>NUEVO</t>
  </si>
  <si>
    <t>Botón solo para uso del editor (CARGADO EN LA WEB)</t>
  </si>
  <si>
    <t>NO USAR (USO EXCLUSIVO DEL EDITOR)</t>
  </si>
  <si>
    <t>Promedio asistencia a CELulas (%)</t>
  </si>
  <si>
    <t>Promedio Inasistencia CELulas (%)</t>
  </si>
  <si>
    <t>Promedio asistente CELulas (%)</t>
  </si>
  <si>
    <t>Promedio Inasistente CELulas (%)</t>
  </si>
  <si>
    <t>form 2010</t>
  </si>
  <si>
    <t>Fecha</t>
  </si>
  <si>
    <t>N°Telefónico</t>
  </si>
  <si>
    <t>Estados</t>
  </si>
  <si>
    <t>HIPERVINCULO("https://wa.me/58" &amp; DERECHA(G23; 10); "+58" &amp; DERECHA(G23; 10))</t>
  </si>
  <si>
    <t>Hiperviculo what</t>
  </si>
  <si>
    <t>Yaskili Montilla</t>
  </si>
  <si>
    <t>Pastores Carlos Duarte y Génesis</t>
  </si>
  <si>
    <t>Morela García</t>
  </si>
  <si>
    <t xml:space="preserve">Valentina Cardenas </t>
  </si>
  <si>
    <t xml:space="preserve">Yurbin Hernández </t>
  </si>
  <si>
    <t>Imly Finol</t>
  </si>
  <si>
    <t xml:space="preserve">Oscar Ciani </t>
  </si>
  <si>
    <t>Dayana Rojas</t>
  </si>
  <si>
    <t>Deyth Domínguez</t>
  </si>
  <si>
    <t>Antoni Ciani</t>
  </si>
  <si>
    <t>Sharlyn Gonzalez</t>
  </si>
  <si>
    <t>Reidelis Benítez</t>
  </si>
  <si>
    <t>Ivanna Cardenas</t>
  </si>
  <si>
    <t>Madelanne Domínguez</t>
  </si>
  <si>
    <t>Abraham Duarte</t>
  </si>
  <si>
    <t>Yurbelis Hernández</t>
  </si>
  <si>
    <t>Daríannys Gutiérrez</t>
  </si>
  <si>
    <t>Samantha Bracho</t>
  </si>
  <si>
    <t>Ismael López</t>
  </si>
  <si>
    <t>Richelis Benítez</t>
  </si>
  <si>
    <t xml:space="preserve">Carlos Duarte </t>
  </si>
  <si>
    <t xml:space="preserve">Richerlis Benitez </t>
  </si>
  <si>
    <t>Deidelys Benitez</t>
  </si>
  <si>
    <t>REPORTE DE ASISTENCIA GENERAL CARABOBO</t>
  </si>
  <si>
    <t>Pastores Carlos Duarte y Génesis (ASISTENCIA A AMBOS)</t>
  </si>
  <si>
    <t>Yeris Paredes</t>
  </si>
  <si>
    <t>Ruth Hernández</t>
  </si>
  <si>
    <t>Margarita López</t>
  </si>
  <si>
    <t>Ernesto Espino</t>
  </si>
  <si>
    <t>Caty García</t>
  </si>
  <si>
    <t>Angélica López</t>
  </si>
  <si>
    <t>Desirée Hernández</t>
  </si>
  <si>
    <t>María Olivares</t>
  </si>
  <si>
    <t>Jackson López</t>
  </si>
  <si>
    <t>Dariannys Gutiérrez</t>
  </si>
  <si>
    <t>Angel Chacin</t>
  </si>
  <si>
    <t>Osmairy Ortega</t>
  </si>
  <si>
    <t>Luisaidy Semprun</t>
  </si>
  <si>
    <t>Luisandra Semprun</t>
  </si>
  <si>
    <t>Luisana semprun</t>
  </si>
  <si>
    <t>Lesvia Dávila</t>
  </si>
  <si>
    <t>Ada silva</t>
  </si>
  <si>
    <t>Santiago morales</t>
  </si>
  <si>
    <t>Darwin Urdaneta</t>
  </si>
  <si>
    <t>Hilary peña</t>
  </si>
  <si>
    <t>Jesús peña</t>
  </si>
  <si>
    <t>Santiago Semprun</t>
  </si>
  <si>
    <t>Saúl Benítez</t>
  </si>
  <si>
    <t>Daniel Semprun</t>
  </si>
  <si>
    <t>Edixon semprun</t>
  </si>
  <si>
    <t>Lorianny Gutiérrez</t>
  </si>
  <si>
    <t>Luceli Semprun</t>
  </si>
  <si>
    <t>Yulexi Aguiar</t>
  </si>
  <si>
    <t>Jesus Hernández</t>
  </si>
  <si>
    <t>Nathaly Agresot</t>
  </si>
  <si>
    <t>Adriana Briceño</t>
  </si>
  <si>
    <t>Coromoto Agresot</t>
  </si>
  <si>
    <t>Victor Agresot</t>
  </si>
  <si>
    <t>Marcos Avendaño</t>
  </si>
  <si>
    <t>Hugo Araujo</t>
  </si>
  <si>
    <t>Erika Mendoza</t>
  </si>
  <si>
    <t>Marcimiliano Fernández</t>
  </si>
  <si>
    <t>Lesvia Rosales</t>
  </si>
  <si>
    <t>Elianny Graterol</t>
  </si>
  <si>
    <t>Yuelby Hernández</t>
  </si>
  <si>
    <t>Isaac González</t>
  </si>
  <si>
    <t xml:space="preserve">Santiago Agresot </t>
  </si>
  <si>
    <t xml:space="preserve">Jorge Luzardo </t>
  </si>
  <si>
    <t xml:space="preserve">Sharil Agresot </t>
  </si>
  <si>
    <t xml:space="preserve">Valeri Parra </t>
  </si>
  <si>
    <t>Yusleidy Aguiar</t>
  </si>
  <si>
    <t>José Araguayan</t>
  </si>
  <si>
    <t>José Hernández</t>
  </si>
  <si>
    <t>Deximar Medina</t>
  </si>
  <si>
    <t>Génesis Vielma</t>
  </si>
  <si>
    <t>Julia Finol</t>
  </si>
  <si>
    <t>Miguel Sarco</t>
  </si>
  <si>
    <t>Daniela Rodríguez</t>
  </si>
  <si>
    <t>Aizquel García</t>
  </si>
  <si>
    <t>Germany Ponce</t>
  </si>
  <si>
    <t>Ronaiker Aguiar</t>
  </si>
  <si>
    <t>Ogalys Aguar</t>
  </si>
  <si>
    <t>Yesiree Villalobos</t>
  </si>
  <si>
    <t>Flor Maria</t>
  </si>
  <si>
    <t>Alberto Faria</t>
  </si>
  <si>
    <t>Saidy Davila</t>
  </si>
  <si>
    <t>Rosa Ruiz</t>
  </si>
  <si>
    <t>Raul Ruiz</t>
  </si>
  <si>
    <t>Luis Rangel</t>
  </si>
  <si>
    <t>Deysi Puerta</t>
  </si>
  <si>
    <t>Desiree Hernández</t>
  </si>
  <si>
    <t>Génesis Montilla</t>
  </si>
  <si>
    <t>José Moncada</t>
  </si>
  <si>
    <t>03-07-2026 A 09-08-2026</t>
  </si>
  <si>
    <t>PRINCIPIOS FINANCIEROS</t>
  </si>
  <si>
    <t>Javier Urdaneta</t>
  </si>
  <si>
    <t>Scarlett Bravo</t>
  </si>
  <si>
    <t>Royner Ruiz</t>
  </si>
  <si>
    <t>Scarly Duno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</si>
</sst>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1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2"/>
      <color theme="1"/>
      <name val="Arial"/>
      <family val="2"/>
    </font>
    <font>
      <b/>
      <sz val="11"/>
      <color theme="1"/>
      <name val="Arial"/>
      <family val="2"/>
    </font>
    <font>
      <b/>
      <sz val="10"/>
      <color theme="1"/>
      <name val="Arial"/>
      <family val="2"/>
    </font>
    <font>
      <b/>
      <sz val="9"/>
      <color theme="1"/>
      <name val="Arial"/>
      <family val="2"/>
    </font>
    <font>
      <b/>
      <sz val="14"/>
      <color theme="1"/>
      <name val="Arial"/>
      <family val="2"/>
    </font>
    <font>
      <sz val="11"/>
      <color theme="1"/>
      <name val="Arial"/>
      <family val="2"/>
    </font>
    <font>
      <b/>
      <sz val="12"/>
      <name val="Arial"/>
      <family val="2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i/>
      <sz val="11"/>
      <color rgb="FF000000"/>
      <name val="Arial"/>
      <family val="2"/>
    </font>
    <font>
      <u/>
      <sz val="11"/>
      <color theme="10"/>
      <name val="Calibri"/>
      <family val="2"/>
      <scheme val="minor"/>
    </font>
    <font>
      <b/>
      <sz val="11.5"/>
      <color theme="1"/>
      <name val="Arial"/>
      <family val="2"/>
    </font>
    <font>
      <b/>
      <sz val="9"/>
      <color indexed="81"/>
      <name val="Tahoma"/>
      <charset val="1"/>
    </font>
    <font>
      <b/>
      <sz val="8"/>
      <color indexed="81"/>
      <name val="Tahoma"/>
      <family val="2"/>
    </font>
    <font>
      <sz val="8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 tint="-4.9989318521683403E-2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theme="3" tint="0.59999389629810485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3">
    <xf numFmtId="0" fontId="0" fillId="0" borderId="0"/>
    <xf numFmtId="0" fontId="13" fillId="0" borderId="0" applyNumberFormat="0" applyFill="0" applyBorder="0" applyAlignment="0" applyProtection="0"/>
    <xf numFmtId="9" fontId="19" fillId="0" borderId="0" applyFont="0" applyFill="0" applyBorder="0" applyAlignment="0" applyProtection="0"/>
  </cellStyleXfs>
  <cellXfs count="122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Border="1" applyAlignment="1">
      <alignment horizontal="center"/>
    </xf>
    <xf numFmtId="0" fontId="0" fillId="0" borderId="0" xfId="0" applyBorder="1"/>
    <xf numFmtId="0" fontId="1" fillId="0" borderId="0" xfId="0" applyFont="1" applyBorder="1" applyAlignment="1">
      <alignment horizontal="center"/>
    </xf>
    <xf numFmtId="0" fontId="1" fillId="0" borderId="1" xfId="0" applyFont="1" applyBorder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 wrapText="1"/>
    </xf>
    <xf numFmtId="2" fontId="3" fillId="0" borderId="1" xfId="0" applyNumberFormat="1" applyFont="1" applyBorder="1" applyAlignment="1">
      <alignment horizontal="center" vertical="center"/>
    </xf>
    <xf numFmtId="0" fontId="4" fillId="7" borderId="1" xfId="0" applyFont="1" applyFill="1" applyBorder="1" applyAlignment="1">
      <alignment horizontal="center"/>
    </xf>
    <xf numFmtId="0" fontId="8" fillId="0" borderId="1" xfId="0" applyFont="1" applyBorder="1"/>
    <xf numFmtId="0" fontId="6" fillId="0" borderId="4" xfId="0" applyFont="1" applyBorder="1" applyAlignment="1">
      <alignment horizontal="center" vertical="center"/>
    </xf>
    <xf numFmtId="0" fontId="5" fillId="3" borderId="1" xfId="0" applyFont="1" applyFill="1" applyBorder="1" applyAlignment="1">
      <alignment horizontal="center"/>
    </xf>
    <xf numFmtId="0" fontId="0" fillId="0" borderId="0" xfId="0" applyAlignment="1">
      <alignment horizontal="center"/>
    </xf>
    <xf numFmtId="0" fontId="2" fillId="0" borderId="0" xfId="0" applyFont="1" applyFill="1" applyBorder="1" applyAlignment="1">
      <alignment horizontal="center" vertical="center" wrapText="1"/>
    </xf>
    <xf numFmtId="0" fontId="7" fillId="0" borderId="0" xfId="0" applyFont="1" applyFill="1" applyBorder="1" applyAlignment="1">
      <alignment horizontal="center" vertical="center"/>
    </xf>
    <xf numFmtId="0" fontId="1" fillId="0" borderId="0" xfId="0" applyFont="1" applyFill="1" applyBorder="1" applyAlignment="1">
      <alignment horizontal="center" vertical="center"/>
    </xf>
    <xf numFmtId="2" fontId="3" fillId="0" borderId="0" xfId="0" applyNumberFormat="1" applyFont="1" applyFill="1" applyBorder="1" applyAlignment="1">
      <alignment horizontal="center" vertical="center"/>
    </xf>
    <xf numFmtId="0" fontId="1" fillId="0" borderId="0" xfId="0" applyFont="1" applyFill="1" applyBorder="1" applyAlignment="1">
      <alignment horizontal="center" vertical="center" wrapText="1"/>
    </xf>
    <xf numFmtId="2" fontId="3" fillId="3" borderId="1" xfId="0" applyNumberFormat="1" applyFont="1" applyFill="1" applyBorder="1" applyAlignment="1">
      <alignment horizontal="center" vertical="center"/>
    </xf>
    <xf numFmtId="0" fontId="1" fillId="0" borderId="1" xfId="0" applyFont="1" applyFill="1" applyBorder="1" applyAlignment="1">
      <alignment horizontal="center" vertical="center" wrapText="1"/>
    </xf>
    <xf numFmtId="2" fontId="3" fillId="9" borderId="1" xfId="0" applyNumberFormat="1" applyFont="1" applyFill="1" applyBorder="1" applyAlignment="1">
      <alignment horizontal="center" vertical="center"/>
    </xf>
    <xf numFmtId="2" fontId="9" fillId="9" borderId="1" xfId="0" applyNumberFormat="1" applyFont="1" applyFill="1" applyBorder="1" applyAlignment="1">
      <alignment horizontal="center" vertical="center"/>
    </xf>
    <xf numFmtId="2" fontId="0" fillId="0" borderId="0" xfId="0" applyNumberFormat="1"/>
    <xf numFmtId="14" fontId="1" fillId="0" borderId="0" xfId="0" applyNumberFormat="1" applyFont="1" applyAlignment="1">
      <alignment horizontal="center"/>
    </xf>
    <xf numFmtId="0" fontId="5" fillId="0" borderId="1" xfId="0" applyFont="1" applyFill="1" applyBorder="1"/>
    <xf numFmtId="0" fontId="0" fillId="0" borderId="0" xfId="0" applyFill="1"/>
    <xf numFmtId="0" fontId="5" fillId="0" borderId="0" xfId="0" applyFont="1" applyBorder="1" applyAlignment="1">
      <alignment horizontal="center"/>
    </xf>
    <xf numFmtId="0" fontId="12" fillId="0" borderId="0" xfId="0" applyFont="1"/>
    <xf numFmtId="0" fontId="13" fillId="0" borderId="0" xfId="1" applyAlignment="1">
      <alignment horizontal="center" vertical="center" wrapText="1"/>
    </xf>
    <xf numFmtId="14" fontId="1" fillId="0" borderId="0" xfId="0" applyNumberFormat="1" applyFont="1"/>
    <xf numFmtId="0" fontId="5" fillId="0" borderId="0" xfId="0" applyFont="1"/>
    <xf numFmtId="2" fontId="11" fillId="0" borderId="12" xfId="0" applyNumberFormat="1" applyFont="1" applyFill="1" applyBorder="1" applyAlignment="1">
      <alignment vertical="center" wrapText="1"/>
    </xf>
    <xf numFmtId="0" fontId="8" fillId="0" borderId="0" xfId="0" applyFont="1" applyFill="1" applyBorder="1"/>
    <xf numFmtId="0" fontId="5" fillId="0" borderId="0" xfId="0" applyFont="1" applyFill="1" applyBorder="1"/>
    <xf numFmtId="0" fontId="1" fillId="0" borderId="0" xfId="0" applyFont="1" applyBorder="1" applyAlignment="1">
      <alignment horizontal="center" vertical="center" wrapText="1"/>
    </xf>
    <xf numFmtId="0" fontId="6" fillId="0" borderId="0" xfId="0" applyFont="1" applyFill="1" applyBorder="1" applyAlignment="1">
      <alignment horizontal="center" vertical="center" wrapText="1"/>
    </xf>
    <xf numFmtId="0" fontId="6" fillId="0" borderId="0" xfId="0" applyFont="1" applyFill="1" applyBorder="1" applyAlignment="1">
      <alignment horizontal="center" vertical="center"/>
    </xf>
    <xf numFmtId="2" fontId="9" fillId="0" borderId="0" xfId="0" applyNumberFormat="1" applyFont="1" applyFill="1" applyBorder="1" applyAlignment="1">
      <alignment horizontal="center" vertical="center"/>
    </xf>
    <xf numFmtId="0" fontId="0" fillId="8" borderId="0" xfId="0" applyFill="1"/>
    <xf numFmtId="0" fontId="5" fillId="0" borderId="1" xfId="0" applyFont="1" applyFill="1" applyBorder="1" applyAlignment="1">
      <alignment horizontal="left" vertical="center"/>
    </xf>
    <xf numFmtId="0" fontId="0" fillId="0" borderId="0" xfId="0" applyAlignment="1">
      <alignment horizontal="center" vertical="center"/>
    </xf>
    <xf numFmtId="0" fontId="1" fillId="0" borderId="0" xfId="0" applyFont="1"/>
    <xf numFmtId="0" fontId="1" fillId="0" borderId="1" xfId="0" applyFont="1" applyBorder="1" applyAlignment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Border="1" applyAlignment="1">
      <alignment horizontal="left"/>
    </xf>
    <xf numFmtId="0" fontId="10" fillId="0" borderId="0" xfId="0" applyFont="1" applyBorder="1" applyAlignment="1">
      <alignment horizontal="center" vertical="center"/>
    </xf>
    <xf numFmtId="0" fontId="18" fillId="0" borderId="0" xfId="0" applyFont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9" fontId="0" fillId="0" borderId="0" xfId="2" applyFont="1"/>
    <xf numFmtId="1" fontId="13" fillId="0" borderId="0" xfId="1" applyNumberFormat="1" applyAlignment="1">
      <alignment horizontal="center"/>
    </xf>
    <xf numFmtId="0" fontId="13" fillId="0" borderId="0" xfId="1"/>
    <xf numFmtId="0" fontId="20" fillId="0" borderId="0" xfId="0" applyFont="1"/>
    <xf numFmtId="1" fontId="0" fillId="0" borderId="0" xfId="0" applyNumberFormat="1" applyAlignment="1">
      <alignment horizontal="center"/>
    </xf>
    <xf numFmtId="0" fontId="4" fillId="0" borderId="10" xfId="0" applyFont="1" applyFill="1" applyBorder="1" applyAlignment="1">
      <alignment horizontal="center"/>
    </xf>
    <xf numFmtId="0" fontId="4" fillId="0" borderId="0" xfId="0" applyFont="1" applyFill="1" applyBorder="1" applyAlignment="1">
      <alignment horizontal="center" vertical="center"/>
    </xf>
    <xf numFmtId="0" fontId="4" fillId="0" borderId="1" xfId="0" applyFont="1" applyFill="1" applyBorder="1" applyAlignment="1">
      <alignment horizontal="center"/>
    </xf>
    <xf numFmtId="0" fontId="5" fillId="0" borderId="1" xfId="0" applyFont="1" applyFill="1" applyBorder="1" applyAlignment="1">
      <alignment horizontal="left"/>
    </xf>
    <xf numFmtId="2" fontId="4" fillId="0" borderId="0" xfId="0" applyNumberFormat="1" applyFont="1" applyFill="1" applyBorder="1" applyAlignment="1">
      <alignment horizontal="center"/>
    </xf>
    <xf numFmtId="1" fontId="13" fillId="0" borderId="0" xfId="1" applyNumberFormat="1" applyFill="1" applyBorder="1" applyAlignment="1">
      <alignment horizontal="center"/>
    </xf>
    <xf numFmtId="1" fontId="4" fillId="0" borderId="0" xfId="0" applyNumberFormat="1" applyFont="1" applyFill="1" applyBorder="1" applyAlignment="1">
      <alignment horizontal="center"/>
    </xf>
    <xf numFmtId="0" fontId="0" fillId="0" borderId="0" xfId="0" applyAlignment="1">
      <alignment horizontal="center"/>
    </xf>
    <xf numFmtId="0" fontId="1" fillId="0" borderId="13" xfId="0" applyFont="1" applyBorder="1" applyAlignment="1">
      <alignment horizontal="center" vertical="center" wrapText="1"/>
    </xf>
    <xf numFmtId="0" fontId="1" fillId="0" borderId="4" xfId="0" applyFont="1" applyBorder="1" applyAlignment="1">
      <alignment horizontal="center" vertical="center" wrapText="1"/>
    </xf>
    <xf numFmtId="0" fontId="0" fillId="11" borderId="1" xfId="0" applyFont="1" applyFill="1" applyBorder="1" applyAlignment="1">
      <alignment horizontal="center" vertical="center" wrapText="1"/>
    </xf>
    <xf numFmtId="0" fontId="0" fillId="11" borderId="13" xfId="0" applyFont="1" applyFill="1" applyBorder="1" applyAlignment="1">
      <alignment horizontal="center" vertical="center" wrapText="1"/>
    </xf>
    <xf numFmtId="0" fontId="2" fillId="4" borderId="6" xfId="0" applyFont="1" applyFill="1" applyBorder="1" applyAlignment="1">
      <alignment horizontal="center" vertical="center" wrapText="1"/>
    </xf>
    <xf numFmtId="0" fontId="2" fillId="4" borderId="7" xfId="0" applyFont="1" applyFill="1" applyBorder="1" applyAlignment="1">
      <alignment horizontal="center" vertical="center" wrapText="1"/>
    </xf>
    <xf numFmtId="0" fontId="2" fillId="4" borderId="8" xfId="0" applyFont="1" applyFill="1" applyBorder="1" applyAlignment="1">
      <alignment horizontal="center" vertical="center" wrapText="1"/>
    </xf>
    <xf numFmtId="0" fontId="2" fillId="4" borderId="9" xfId="0" applyFont="1" applyFill="1" applyBorder="1" applyAlignment="1">
      <alignment horizontal="center" vertical="center" wrapText="1"/>
    </xf>
    <xf numFmtId="0" fontId="7" fillId="7" borderId="2" xfId="0" applyFont="1" applyFill="1" applyBorder="1" applyAlignment="1">
      <alignment horizontal="center" vertical="center"/>
    </xf>
    <xf numFmtId="0" fontId="7" fillId="7" borderId="3" xfId="0" applyFont="1" applyFill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2" fontId="3" fillId="3" borderId="13" xfId="0" applyNumberFormat="1" applyFont="1" applyFill="1" applyBorder="1" applyAlignment="1">
      <alignment horizontal="center" vertical="center"/>
    </xf>
    <xf numFmtId="2" fontId="3" fillId="3" borderId="4" xfId="0" applyNumberFormat="1" applyFont="1" applyFill="1" applyBorder="1" applyAlignment="1">
      <alignment horizontal="center" vertical="center"/>
    </xf>
    <xf numFmtId="0" fontId="1" fillId="0" borderId="13" xfId="0" applyFont="1" applyBorder="1" applyAlignment="1">
      <alignment horizontal="center" vertical="center"/>
    </xf>
    <xf numFmtId="0" fontId="1" fillId="0" borderId="4" xfId="0" applyFont="1" applyBorder="1" applyAlignment="1">
      <alignment horizontal="center" vertical="center"/>
    </xf>
    <xf numFmtId="0" fontId="2" fillId="4" borderId="2" xfId="0" applyFont="1" applyFill="1" applyBorder="1" applyAlignment="1">
      <alignment horizontal="center" vertical="center" wrapText="1"/>
    </xf>
    <xf numFmtId="0" fontId="2" fillId="4" borderId="3" xfId="0" applyFont="1" applyFill="1" applyBorder="1" applyAlignment="1">
      <alignment horizontal="center" vertical="center" wrapText="1"/>
    </xf>
    <xf numFmtId="0" fontId="1" fillId="3" borderId="0" xfId="0" applyFont="1" applyFill="1" applyAlignment="1">
      <alignment horizontal="center" vertical="center" wrapText="1"/>
    </xf>
    <xf numFmtId="0" fontId="2" fillId="0" borderId="6" xfId="0" applyFont="1" applyFill="1" applyBorder="1" applyAlignment="1">
      <alignment horizontal="center" vertical="center" wrapText="1"/>
    </xf>
    <xf numFmtId="0" fontId="2" fillId="0" borderId="7" xfId="0" applyFont="1" applyFill="1" applyBorder="1" applyAlignment="1">
      <alignment horizontal="center" vertical="center" wrapText="1"/>
    </xf>
    <xf numFmtId="0" fontId="2" fillId="0" borderId="8" xfId="0" applyFont="1" applyFill="1" applyBorder="1" applyAlignment="1">
      <alignment horizontal="center" vertical="center" wrapText="1"/>
    </xf>
    <xf numFmtId="0" fontId="2" fillId="0" borderId="9" xfId="0" applyFont="1" applyFill="1" applyBorder="1" applyAlignment="1">
      <alignment horizontal="center" vertical="center" wrapText="1"/>
    </xf>
    <xf numFmtId="0" fontId="7" fillId="7" borderId="13" xfId="0" applyFont="1" applyFill="1" applyBorder="1" applyAlignment="1">
      <alignment horizontal="center" vertical="center"/>
    </xf>
    <xf numFmtId="0" fontId="7" fillId="7" borderId="4" xfId="0" applyFont="1" applyFill="1" applyBorder="1" applyAlignment="1">
      <alignment horizontal="center" vertical="center"/>
    </xf>
    <xf numFmtId="0" fontId="7" fillId="5" borderId="2" xfId="0" applyFont="1" applyFill="1" applyBorder="1" applyAlignment="1">
      <alignment horizontal="center" vertical="center"/>
    </xf>
    <xf numFmtId="0" fontId="7" fillId="5" borderId="3" xfId="0" applyFont="1" applyFill="1" applyBorder="1" applyAlignment="1">
      <alignment horizontal="center" vertical="center"/>
    </xf>
    <xf numFmtId="0" fontId="6" fillId="0" borderId="2" xfId="0" applyFont="1" applyBorder="1" applyAlignment="1">
      <alignment horizontal="center" vertical="center" wrapText="1"/>
    </xf>
    <xf numFmtId="0" fontId="6" fillId="0" borderId="3" xfId="0" applyFont="1" applyBorder="1" applyAlignment="1">
      <alignment horizontal="center" vertical="center" wrapText="1"/>
    </xf>
    <xf numFmtId="0" fontId="1" fillId="0" borderId="6" xfId="0" applyFont="1" applyBorder="1" applyAlignment="1">
      <alignment horizontal="center" vertical="center" wrapText="1"/>
    </xf>
    <xf numFmtId="0" fontId="1" fillId="0" borderId="7" xfId="0" applyFont="1" applyBorder="1" applyAlignment="1">
      <alignment horizontal="center" vertical="center" wrapText="1"/>
    </xf>
    <xf numFmtId="0" fontId="1" fillId="0" borderId="8" xfId="0" applyFont="1" applyBorder="1" applyAlignment="1">
      <alignment horizontal="center" vertical="center" wrapText="1"/>
    </xf>
    <xf numFmtId="0" fontId="1" fillId="0" borderId="9" xfId="0" applyFont="1" applyBorder="1" applyAlignment="1">
      <alignment horizontal="center" vertical="center" wrapText="1"/>
    </xf>
    <xf numFmtId="0" fontId="5" fillId="4" borderId="2" xfId="0" applyFont="1" applyFill="1" applyBorder="1" applyAlignment="1">
      <alignment horizontal="center"/>
    </xf>
    <xf numFmtId="0" fontId="5" fillId="4" borderId="5" xfId="0" applyFont="1" applyFill="1" applyBorder="1" applyAlignment="1">
      <alignment horizontal="center"/>
    </xf>
    <xf numFmtId="0" fontId="5" fillId="4" borderId="3" xfId="0" applyFont="1" applyFill="1" applyBorder="1" applyAlignment="1">
      <alignment horizontal="center"/>
    </xf>
    <xf numFmtId="0" fontId="3" fillId="6" borderId="2" xfId="0" applyFont="1" applyFill="1" applyBorder="1" applyAlignment="1">
      <alignment horizontal="center"/>
    </xf>
    <xf numFmtId="0" fontId="3" fillId="6" borderId="5" xfId="0" applyFont="1" applyFill="1" applyBorder="1" applyAlignment="1">
      <alignment horizontal="center"/>
    </xf>
    <xf numFmtId="0" fontId="3" fillId="6" borderId="3" xfId="0" applyFont="1" applyFill="1" applyBorder="1" applyAlignment="1">
      <alignment horizontal="center"/>
    </xf>
    <xf numFmtId="0" fontId="7" fillId="2" borderId="2" xfId="0" applyFont="1" applyFill="1" applyBorder="1" applyAlignment="1">
      <alignment horizontal="center" vertical="center"/>
    </xf>
    <xf numFmtId="0" fontId="7" fillId="2" borderId="3" xfId="0" applyFont="1" applyFill="1" applyBorder="1" applyAlignment="1">
      <alignment horizontal="center" vertical="center"/>
    </xf>
    <xf numFmtId="0" fontId="4" fillId="0" borderId="6" xfId="0" applyFont="1" applyBorder="1" applyAlignment="1">
      <alignment horizontal="center" vertical="center"/>
    </xf>
    <xf numFmtId="0" fontId="4" fillId="0" borderId="7" xfId="0" applyFont="1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4" fillId="0" borderId="9" xfId="0" applyFont="1" applyBorder="1" applyAlignment="1">
      <alignment horizontal="center" vertical="center"/>
    </xf>
    <xf numFmtId="0" fontId="14" fillId="3" borderId="6" xfId="0" applyFont="1" applyFill="1" applyBorder="1" applyAlignment="1">
      <alignment horizontal="center" vertical="center"/>
    </xf>
    <xf numFmtId="0" fontId="14" fillId="3" borderId="11" xfId="0" applyFont="1" applyFill="1" applyBorder="1" applyAlignment="1">
      <alignment horizontal="center" vertical="center"/>
    </xf>
    <xf numFmtId="0" fontId="14" fillId="3" borderId="7" xfId="0" applyFont="1" applyFill="1" applyBorder="1" applyAlignment="1">
      <alignment horizontal="center" vertical="center"/>
    </xf>
    <xf numFmtId="0" fontId="14" fillId="3" borderId="8" xfId="0" applyFont="1" applyFill="1" applyBorder="1" applyAlignment="1">
      <alignment horizontal="center" vertical="center"/>
    </xf>
    <xf numFmtId="0" fontId="14" fillId="3" borderId="10" xfId="0" applyFont="1" applyFill="1" applyBorder="1" applyAlignment="1">
      <alignment horizontal="center" vertical="center"/>
    </xf>
    <xf numFmtId="0" fontId="14" fillId="3" borderId="9" xfId="0" applyFont="1" applyFill="1" applyBorder="1" applyAlignment="1">
      <alignment horizontal="center" vertical="center"/>
    </xf>
    <xf numFmtId="0" fontId="4" fillId="4" borderId="2" xfId="0" applyFont="1" applyFill="1" applyBorder="1" applyAlignment="1">
      <alignment horizontal="center"/>
    </xf>
    <xf numFmtId="0" fontId="4" fillId="4" borderId="5" xfId="0" applyFont="1" applyFill="1" applyBorder="1" applyAlignment="1">
      <alignment horizontal="center"/>
    </xf>
    <xf numFmtId="0" fontId="4" fillId="4" borderId="3" xfId="0" applyFont="1" applyFill="1" applyBorder="1" applyAlignment="1">
      <alignment horizontal="center"/>
    </xf>
    <xf numFmtId="0" fontId="0" fillId="0" borderId="0" xfId="0" applyAlignment="1">
      <alignment horizontal="center"/>
    </xf>
    <xf numFmtId="0" fontId="13" fillId="0" borderId="0" xfId="1" applyAlignment="1">
      <alignment vertical="center" wrapText="1"/>
    </xf>
    <xf numFmtId="0" fontId="12" fillId="10" borderId="0" xfId="0" applyFont="1" applyFill="1" applyAlignment="1">
      <alignment horizontal="center" vertical="center" wrapText="1"/>
    </xf>
  </cellXfs>
  <cellStyles count="3">
    <cellStyle name="Hipervínculo" xfId="1" builtinId="8"/>
    <cellStyle name="Normal" xfId="0" builtinId="0"/>
    <cellStyle name="Porcentaje" xfId="2" builtinId="5"/>
  </cellStyles>
  <dxfs count="68"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FF66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166687</xdr:colOff>
      <xdr:row>21</xdr:row>
      <xdr:rowOff>59530</xdr:rowOff>
    </xdr:from>
    <xdr:to>
      <xdr:col>7</xdr:col>
      <xdr:colOff>809624</xdr:colOff>
      <xdr:row>27</xdr:row>
      <xdr:rowOff>119063</xdr:rowOff>
    </xdr:to>
    <xdr:sp macro="[0]!MarcarCelulaYTelefono" textlink="">
      <xdr:nvSpPr>
        <xdr:cNvPr id="2" name="Rectángulo 1">
          <a:extLst>
            <a:ext uri="{FF2B5EF4-FFF2-40B4-BE49-F238E27FC236}">
              <a16:creationId xmlns:a16="http://schemas.microsoft.com/office/drawing/2014/main" id="{75217E1B-1F86-437C-A85E-5282D2D51FCA}"/>
            </a:ext>
          </a:extLst>
        </xdr:cNvPr>
        <xdr:cNvSpPr/>
      </xdr:nvSpPr>
      <xdr:spPr>
        <a:xfrm>
          <a:off x="6334125" y="6500811"/>
          <a:ext cx="642937" cy="1202533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>
              <a:solidFill>
                <a:schemeClr val="tx1"/>
              </a:solidFill>
            </a:rPr>
            <a:t>ASIS.CÉLULA.</a:t>
          </a:r>
        </a:p>
      </xdr:txBody>
    </xdr:sp>
    <xdr:clientData/>
  </xdr:twoCellAnchor>
  <xdr:twoCellAnchor>
    <xdr:from>
      <xdr:col>7</xdr:col>
      <xdr:colOff>154780</xdr:colOff>
      <xdr:row>28</xdr:row>
      <xdr:rowOff>83344</xdr:rowOff>
    </xdr:from>
    <xdr:to>
      <xdr:col>7</xdr:col>
      <xdr:colOff>821531</xdr:colOff>
      <xdr:row>32</xdr:row>
      <xdr:rowOff>178594</xdr:rowOff>
    </xdr:to>
    <xdr:sp macro="[0]!MarcarAsistenciaServicio" textlink="">
      <xdr:nvSpPr>
        <xdr:cNvPr id="4" name="Rectángulo 3">
          <a:extLst>
            <a:ext uri="{FF2B5EF4-FFF2-40B4-BE49-F238E27FC236}">
              <a16:creationId xmlns:a16="http://schemas.microsoft.com/office/drawing/2014/main" id="{8DEE5070-4AF2-436D-B9DC-6E353698402B}"/>
            </a:ext>
          </a:extLst>
        </xdr:cNvPr>
        <xdr:cNvSpPr/>
      </xdr:nvSpPr>
      <xdr:spPr>
        <a:xfrm>
          <a:off x="6322218" y="7858125"/>
          <a:ext cx="666751" cy="857250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>
              <a:solidFill>
                <a:schemeClr val="tx1"/>
              </a:solidFill>
            </a:rPr>
            <a:t>ASIS.SERVICIO</a:t>
          </a:r>
        </a:p>
      </xdr:txBody>
    </xdr:sp>
    <xdr:clientData/>
  </xdr:twoCellAnchor>
  <xdr:twoCellAnchor>
    <xdr:from>
      <xdr:col>7</xdr:col>
      <xdr:colOff>142876</xdr:colOff>
      <xdr:row>33</xdr:row>
      <xdr:rowOff>119064</xdr:rowOff>
    </xdr:from>
    <xdr:to>
      <xdr:col>7</xdr:col>
      <xdr:colOff>821531</xdr:colOff>
      <xdr:row>39</xdr:row>
      <xdr:rowOff>154781</xdr:rowOff>
    </xdr:to>
    <xdr:sp macro="[0]!ExcluirYOrganizarAsistencia" textlink="">
      <xdr:nvSpPr>
        <xdr:cNvPr id="3" name="Rectángulo 2">
          <a:extLst>
            <a:ext uri="{FF2B5EF4-FFF2-40B4-BE49-F238E27FC236}">
              <a16:creationId xmlns:a16="http://schemas.microsoft.com/office/drawing/2014/main" id="{49811B93-C05C-4173-AE3F-089727FB07A0}"/>
            </a:ext>
          </a:extLst>
        </xdr:cNvPr>
        <xdr:cNvSpPr/>
      </xdr:nvSpPr>
      <xdr:spPr>
        <a:xfrm>
          <a:off x="6310314" y="8846345"/>
          <a:ext cx="678655" cy="1178717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horz" rtlCol="0" anchor="ctr"/>
        <a:lstStyle/>
        <a:p>
          <a:pPr algn="ctr"/>
          <a:r>
            <a:rPr lang="es-VE" sz="1600" b="1">
              <a:solidFill>
                <a:sysClr val="windowText" lastClr="000000"/>
              </a:solidFill>
            </a:rPr>
            <a:t>EXCLUIR</a:t>
          </a:r>
        </a:p>
      </xdr:txBody>
    </xdr:sp>
    <xdr:clientData/>
  </xdr:twoCellAnchor>
  <xdr:twoCellAnchor>
    <xdr:from>
      <xdr:col>8</xdr:col>
      <xdr:colOff>11907</xdr:colOff>
      <xdr:row>4</xdr:row>
      <xdr:rowOff>0</xdr:rowOff>
    </xdr:from>
    <xdr:to>
      <xdr:col>8</xdr:col>
      <xdr:colOff>1523999</xdr:colOff>
      <xdr:row>5</xdr:row>
      <xdr:rowOff>0</xdr:rowOff>
    </xdr:to>
    <xdr:sp macro="[0]!AbrirDashboardWeb" textlink="">
      <xdr:nvSpPr>
        <xdr:cNvPr id="11" name="Rectángulo 10">
          <a:extLst>
            <a:ext uri="{FF2B5EF4-FFF2-40B4-BE49-F238E27FC236}">
              <a16:creationId xmlns:a16="http://schemas.microsoft.com/office/drawing/2014/main" id="{27C75DD2-1F4C-46D3-9D2C-5AA358841319}"/>
            </a:ext>
          </a:extLst>
        </xdr:cNvPr>
        <xdr:cNvSpPr/>
      </xdr:nvSpPr>
      <xdr:spPr>
        <a:xfrm>
          <a:off x="6786563" y="773906"/>
          <a:ext cx="1512092" cy="559594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400" b="1">
              <a:solidFill>
                <a:schemeClr val="tx1"/>
              </a:solidFill>
            </a:rPr>
            <a:t>CARGAR</a:t>
          </a:r>
          <a:r>
            <a:rPr lang="es-VE" sz="1400" b="1" baseline="0">
              <a:solidFill>
                <a:schemeClr val="tx1"/>
              </a:solidFill>
            </a:rPr>
            <a:t> DASHBOARD</a:t>
          </a:r>
          <a:endParaRPr lang="es-VE" sz="1400" b="1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0</xdr:colOff>
      <xdr:row>7</xdr:row>
      <xdr:rowOff>0</xdr:rowOff>
    </xdr:from>
    <xdr:to>
      <xdr:col>8</xdr:col>
      <xdr:colOff>1512092</xdr:colOff>
      <xdr:row>7</xdr:row>
      <xdr:rowOff>559594</xdr:rowOff>
    </xdr:to>
    <xdr:sp macro="[0]!SubiryAvisar" textlink="">
      <xdr:nvSpPr>
        <xdr:cNvPr id="20" name="Rectángulo 19">
          <a:extLst>
            <a:ext uri="{FF2B5EF4-FFF2-40B4-BE49-F238E27FC236}">
              <a16:creationId xmlns:a16="http://schemas.microsoft.com/office/drawing/2014/main" id="{AD50641A-8EDA-4CB1-9C45-7F27011D0382}"/>
            </a:ext>
          </a:extLst>
        </xdr:cNvPr>
        <xdr:cNvSpPr/>
      </xdr:nvSpPr>
      <xdr:spPr>
        <a:xfrm>
          <a:off x="6774656" y="2107406"/>
          <a:ext cx="1512092" cy="559594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400" b="1">
              <a:solidFill>
                <a:schemeClr val="tx1"/>
              </a:solidFill>
            </a:rPr>
            <a:t>ENVIAR</a:t>
          </a:r>
          <a:r>
            <a:rPr lang="es-VE" sz="1400" b="1" baseline="0">
              <a:solidFill>
                <a:schemeClr val="tx1"/>
              </a:solidFill>
            </a:rPr>
            <a:t> A GITHUB</a:t>
          </a:r>
          <a:endParaRPr lang="es-VE" sz="1400" b="1">
            <a:solidFill>
              <a:schemeClr val="tx1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vmlDrawing" Target="../drawings/vmlDrawing1.vml"/><Relationship Id="rId3" Type="http://schemas.openxmlformats.org/officeDocument/2006/relationships/hyperlink" Target="https://wa.me/584122838159" TargetMode="External"/><Relationship Id="rId7" Type="http://schemas.openxmlformats.org/officeDocument/2006/relationships/drawing" Target="../drawings/drawing1.xml"/><Relationship Id="rId2" Type="http://schemas.openxmlformats.org/officeDocument/2006/relationships/hyperlink" Target="https://wa.me/584126558931" TargetMode="External"/><Relationship Id="rId1" Type="http://schemas.openxmlformats.org/officeDocument/2006/relationships/hyperlink" Target="https://wa.me/584246553570" TargetMode="External"/><Relationship Id="rId6" Type="http://schemas.openxmlformats.org/officeDocument/2006/relationships/printerSettings" Target="../printerSettings/printerSettings1.bin"/><Relationship Id="rId5" Type="http://schemas.openxmlformats.org/officeDocument/2006/relationships/hyperlink" Target="https://wa.me/584126558731" TargetMode="External"/><Relationship Id="rId4" Type="http://schemas.openxmlformats.org/officeDocument/2006/relationships/hyperlink" Target="https://wa.me/584126558731" TargetMode="External"/><Relationship Id="rId9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hyperlink" Target="http://intranet/mbo/isopro/ISO/Procesos/MEI/CAP2/MEI-9/MEI-9.5/MEI-9.5-I-02.doc" TargetMode="External"/><Relationship Id="rId2" Type="http://schemas.openxmlformats.org/officeDocument/2006/relationships/hyperlink" Target="http://intranet/mbo/isopro/ISO/Procesos/MEI/Aprobaciones/P-MEI-%2024-431%20al%2024-433.msg" TargetMode="External"/><Relationship Id="rId1" Type="http://schemas.openxmlformats.org/officeDocument/2006/relationships/hyperlink" Target="http://intranet/mbo/isopro/ISO/Procesos/MEI/CAP2/MEI-9/MEI-9.5/MEI-9.5-I-01.doc" TargetMode="External"/><Relationship Id="rId5" Type="http://schemas.openxmlformats.org/officeDocument/2006/relationships/printerSettings" Target="../printerSettings/printerSettings2.bin"/><Relationship Id="rId4" Type="http://schemas.openxmlformats.org/officeDocument/2006/relationships/hyperlink" Target="http://intranet/mbo/isopro/ISO/Procesos/MEI/Aprobaciones/P-MEI-%2024-431%20al%2024-433.msg" TargetMode="Externa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AI747"/>
  <sheetViews>
    <sheetView tabSelected="1" topLeftCell="A103" zoomScale="80" zoomScaleNormal="80" workbookViewId="0">
      <selection activeCell="J123" sqref="J123"/>
    </sheetView>
  </sheetViews>
  <sheetFormatPr baseColWidth="10" defaultRowHeight="15" x14ac:dyDescent="0.25"/>
  <cols>
    <col min="1" max="1" width="4.7109375" customWidth="1"/>
    <col min="2" max="2" width="26" customWidth="1"/>
    <col min="3" max="3" width="10" customWidth="1"/>
    <col min="4" max="4" width="9.42578125" bestFit="1" customWidth="1"/>
    <col min="5" max="5" width="13.85546875" customWidth="1"/>
    <col min="6" max="6" width="11.42578125" customWidth="1"/>
    <col min="7" max="7" width="17" customWidth="1"/>
    <col min="8" max="8" width="15.140625" customWidth="1"/>
    <col min="9" max="9" width="23.28515625" customWidth="1"/>
    <col min="13" max="13" width="11.42578125" customWidth="1"/>
  </cols>
  <sheetData>
    <row r="1" spans="1:17" x14ac:dyDescent="0.25">
      <c r="A1" s="98" t="s">
        <v>99</v>
      </c>
      <c r="B1" s="99"/>
      <c r="C1" s="99"/>
      <c r="D1" s="99"/>
      <c r="E1" s="99"/>
      <c r="F1" s="99"/>
      <c r="G1" s="100"/>
      <c r="N1" t="s">
        <v>62</v>
      </c>
      <c r="Q1" t="s">
        <v>70</v>
      </c>
    </row>
    <row r="2" spans="1:17" ht="15.75" x14ac:dyDescent="0.25">
      <c r="A2" s="101" t="s">
        <v>169</v>
      </c>
      <c r="B2" s="102"/>
      <c r="C2" s="102"/>
      <c r="D2" s="102"/>
      <c r="E2" s="102"/>
      <c r="F2" s="102"/>
      <c r="G2" s="103"/>
      <c r="H2" s="25"/>
      <c r="N2" s="26" t="str">
        <f ca="1">IF(AND(I2="NO",J2="NO"),IF(N2="",TODAY(),N2),"")</f>
        <v/>
      </c>
      <c r="Q2" s="50" t="str" cm="1">
        <f t="array" ref="Q2">IF(ISERROR(INDEX($B$72:$B$121, SMALL(IF(($C$72:$C$121="SI")*($D$72:$D$121="SI"), ROW($B$72:$B$121)-ROW(#REF!)+1), ROWS($A$1:A1)))), "", INDEX($B$72:$B$121, SMALL(IF(($C$72:$C$121="SI")*($D$72:$D$121="SI"), ROW($B$72:$B$121)-ROW(#REF!)+1), ROWS($A$1:A1))))</f>
        <v/>
      </c>
    </row>
    <row r="3" spans="1:17" x14ac:dyDescent="0.25">
      <c r="A3" s="106" t="s">
        <v>9</v>
      </c>
      <c r="B3" s="107"/>
      <c r="C3" s="110" t="s">
        <v>170</v>
      </c>
      <c r="D3" s="111"/>
      <c r="E3" s="111"/>
      <c r="F3" s="111"/>
      <c r="G3" s="112"/>
      <c r="Q3" t="s">
        <v>75</v>
      </c>
    </row>
    <row r="4" spans="1:17" x14ac:dyDescent="0.25">
      <c r="A4" s="108"/>
      <c r="B4" s="109"/>
      <c r="C4" s="113"/>
      <c r="D4" s="114"/>
      <c r="E4" s="114"/>
      <c r="F4" s="114"/>
      <c r="G4" s="115"/>
      <c r="Q4" s="56" t="s">
        <v>74</v>
      </c>
    </row>
    <row r="5" spans="1:17" ht="44.25" customHeight="1" x14ac:dyDescent="0.25">
      <c r="A5" s="92" t="s">
        <v>10</v>
      </c>
      <c r="B5" s="93"/>
      <c r="C5" s="90">
        <f>C123</f>
        <v>53</v>
      </c>
      <c r="D5" s="91"/>
      <c r="E5" s="13" t="s">
        <v>12</v>
      </c>
      <c r="F5" s="23">
        <f>C5/C19*100</f>
        <v>53</v>
      </c>
      <c r="G5" s="9" t="s">
        <v>66</v>
      </c>
      <c r="H5" s="34"/>
      <c r="J5" s="83" t="s">
        <v>64</v>
      </c>
      <c r="K5" s="83"/>
    </row>
    <row r="6" spans="1:17" ht="45.75" customHeight="1" x14ac:dyDescent="0.25">
      <c r="A6" s="92" t="s">
        <v>11</v>
      </c>
      <c r="B6" s="93"/>
      <c r="C6" s="104">
        <f>C124</f>
        <v>45</v>
      </c>
      <c r="D6" s="105"/>
      <c r="E6" s="7" t="s">
        <v>12</v>
      </c>
      <c r="F6" s="23">
        <f>C6/C19*100</f>
        <v>45</v>
      </c>
      <c r="G6" s="9" t="s">
        <v>67</v>
      </c>
      <c r="H6" s="34"/>
      <c r="I6" s="25"/>
    </row>
    <row r="7" spans="1:17" x14ac:dyDescent="0.25">
      <c r="A7" s="5"/>
      <c r="B7" s="5"/>
      <c r="C7" s="3"/>
      <c r="D7" s="3"/>
      <c r="E7" s="3"/>
    </row>
    <row r="8" spans="1:17" ht="45.75" customHeight="1" x14ac:dyDescent="0.25">
      <c r="A8" s="92" t="s">
        <v>13</v>
      </c>
      <c r="B8" s="93"/>
      <c r="C8" s="90">
        <f>C126</f>
        <v>15</v>
      </c>
      <c r="D8" s="91"/>
      <c r="E8" s="7" t="s">
        <v>12</v>
      </c>
      <c r="F8" s="23">
        <f>C8/C19*100</f>
        <v>15</v>
      </c>
      <c r="G8" s="9" t="s">
        <v>25</v>
      </c>
      <c r="J8" s="83" t="s">
        <v>65</v>
      </c>
      <c r="K8" s="83"/>
    </row>
    <row r="9" spans="1:17" ht="58.5" customHeight="1" x14ac:dyDescent="0.25">
      <c r="A9" s="92" t="s">
        <v>14</v>
      </c>
      <c r="B9" s="93"/>
      <c r="C9" s="104">
        <f>C127</f>
        <v>84</v>
      </c>
      <c r="D9" s="105"/>
      <c r="E9" s="7" t="s">
        <v>12</v>
      </c>
      <c r="F9" s="24">
        <f>C9/C19*100</f>
        <v>84</v>
      </c>
      <c r="G9" s="9" t="s">
        <v>26</v>
      </c>
      <c r="I9" s="25"/>
    </row>
    <row r="10" spans="1:17" ht="18" x14ac:dyDescent="0.25">
      <c r="A10" s="38"/>
      <c r="B10" s="38"/>
      <c r="C10" s="17"/>
      <c r="D10" s="17"/>
      <c r="E10" s="39"/>
      <c r="F10" s="40"/>
      <c r="G10" s="20"/>
      <c r="H10" s="28"/>
    </row>
    <row r="11" spans="1:17" ht="15" customHeight="1" x14ac:dyDescent="0.25">
      <c r="A11" s="84" t="s">
        <v>57</v>
      </c>
      <c r="B11" s="85"/>
      <c r="C11" s="88">
        <f>C129</f>
        <v>9</v>
      </c>
      <c r="D11" s="79" t="s">
        <v>12</v>
      </c>
      <c r="E11" s="77">
        <f>C11/C19*100</f>
        <v>9</v>
      </c>
      <c r="F11" s="94" t="s">
        <v>55</v>
      </c>
      <c r="G11" s="95"/>
      <c r="H11" s="28"/>
    </row>
    <row r="12" spans="1:17" x14ac:dyDescent="0.25">
      <c r="A12" s="86"/>
      <c r="B12" s="87"/>
      <c r="C12" s="89"/>
      <c r="D12" s="80"/>
      <c r="E12" s="78"/>
      <c r="F12" s="96"/>
      <c r="G12" s="97"/>
      <c r="H12" s="28"/>
      <c r="L12" s="53"/>
    </row>
    <row r="13" spans="1:17" ht="15" customHeight="1" x14ac:dyDescent="0.25">
      <c r="A13" s="84" t="s">
        <v>58</v>
      </c>
      <c r="B13" s="85"/>
      <c r="C13" s="88">
        <f>C131</f>
        <v>40</v>
      </c>
      <c r="D13" s="79" t="s">
        <v>12</v>
      </c>
      <c r="E13" s="77">
        <f>C13/C19*100</f>
        <v>40</v>
      </c>
      <c r="F13" s="94" t="s">
        <v>56</v>
      </c>
      <c r="G13" s="95"/>
      <c r="H13" s="28"/>
    </row>
    <row r="14" spans="1:17" ht="15" customHeight="1" x14ac:dyDescent="0.25">
      <c r="A14" s="86"/>
      <c r="B14" s="87"/>
      <c r="C14" s="89"/>
      <c r="D14" s="80"/>
      <c r="E14" s="78"/>
      <c r="F14" s="96"/>
      <c r="G14" s="97"/>
      <c r="H14" s="28"/>
    </row>
    <row r="15" spans="1:17" x14ac:dyDescent="0.25">
      <c r="A15" s="38"/>
      <c r="B15" s="38"/>
      <c r="C15" s="38"/>
      <c r="D15" s="38"/>
      <c r="E15" s="38"/>
      <c r="F15" s="38"/>
      <c r="G15" s="38"/>
      <c r="H15" s="38"/>
    </row>
    <row r="16" spans="1:17" ht="30" x14ac:dyDescent="0.25">
      <c r="A16" s="92" t="s">
        <v>32</v>
      </c>
      <c r="B16" s="93"/>
      <c r="C16" s="74">
        <f>COUNTIF(E23:E385,"NUEVO")</f>
        <v>0</v>
      </c>
      <c r="D16" s="75"/>
      <c r="E16" s="7" t="s">
        <v>12</v>
      </c>
      <c r="F16" s="10">
        <f>C16/C19*100</f>
        <v>0</v>
      </c>
      <c r="G16" s="22" t="s">
        <v>31</v>
      </c>
    </row>
    <row r="17" spans="1:10" ht="45" x14ac:dyDescent="0.25">
      <c r="A17" s="92" t="s">
        <v>33</v>
      </c>
      <c r="B17" s="93"/>
      <c r="C17" s="74">
        <f>COUNTIF(C23:C649,"NUEVO")</f>
        <v>1</v>
      </c>
      <c r="D17" s="75"/>
      <c r="E17" s="7" t="s">
        <v>12</v>
      </c>
      <c r="F17" s="10">
        <f>C17/C19*100</f>
        <v>1</v>
      </c>
      <c r="G17" s="22" t="s">
        <v>27</v>
      </c>
    </row>
    <row r="18" spans="1:10" x14ac:dyDescent="0.25">
      <c r="A18" s="5"/>
      <c r="B18" s="5"/>
      <c r="C18" s="3"/>
      <c r="D18" s="3"/>
      <c r="E18" s="3"/>
    </row>
    <row r="19" spans="1:10" ht="24.75" customHeight="1" x14ac:dyDescent="0.25">
      <c r="A19" s="92" t="s">
        <v>24</v>
      </c>
      <c r="B19" s="93"/>
      <c r="C19" s="74">
        <f>A121</f>
        <v>100</v>
      </c>
      <c r="D19" s="75"/>
      <c r="E19" s="7" t="s">
        <v>12</v>
      </c>
    </row>
    <row r="20" spans="1:10" x14ac:dyDescent="0.25">
      <c r="A20" s="5"/>
      <c r="B20" s="5"/>
      <c r="C20" s="3"/>
      <c r="D20" s="3"/>
      <c r="E20" s="3"/>
    </row>
    <row r="21" spans="1:10" x14ac:dyDescent="0.25">
      <c r="A21" s="116" t="s">
        <v>77</v>
      </c>
      <c r="B21" s="117"/>
      <c r="C21" s="117"/>
      <c r="D21" s="117"/>
      <c r="E21" s="118"/>
      <c r="G21" s="65"/>
      <c r="I21" s="68" t="s">
        <v>100</v>
      </c>
      <c r="J21" s="68"/>
    </row>
    <row r="22" spans="1:10" x14ac:dyDescent="0.25">
      <c r="A22" s="11" t="s">
        <v>0</v>
      </c>
      <c r="B22" s="11" t="s">
        <v>1</v>
      </c>
      <c r="C22" s="11" t="s">
        <v>2</v>
      </c>
      <c r="D22" s="11" t="s">
        <v>3</v>
      </c>
      <c r="E22" s="11" t="s">
        <v>7</v>
      </c>
      <c r="F22" s="11" t="s">
        <v>71</v>
      </c>
      <c r="G22" s="11" t="s">
        <v>72</v>
      </c>
      <c r="I22" s="69"/>
      <c r="J22" s="69"/>
    </row>
    <row r="23" spans="1:10" x14ac:dyDescent="0.25">
      <c r="A23" s="60">
        <v>1</v>
      </c>
      <c r="B23" s="42" t="s">
        <v>96</v>
      </c>
      <c r="C23" s="14" t="s">
        <v>5</v>
      </c>
      <c r="D23" s="14" t="s">
        <v>5</v>
      </c>
      <c r="E23" s="12" t="s">
        <v>61</v>
      </c>
      <c r="F23" s="26" t="str">
        <f t="shared" ref="F23:F121" ca="1" si="0">IF(AND(C23="NO",D23="NO"),IF(F23="",TODAY(),F23),"")</f>
        <v/>
      </c>
      <c r="G23" s="62"/>
      <c r="H23" s="55"/>
      <c r="I23" s="4" t="str" cm="1">
        <f t="array" ref="I23:I31">_xlfn._xlws.FILTER(B23:B121,(C23:C121="SI")*(D23:D121="SI"),"")</f>
        <v xml:space="preserve">Carlos Duarte </v>
      </c>
    </row>
    <row r="24" spans="1:10" x14ac:dyDescent="0.25">
      <c r="A24" s="60">
        <v>2</v>
      </c>
      <c r="B24" s="42" t="s">
        <v>167</v>
      </c>
      <c r="C24" s="14" t="s">
        <v>5</v>
      </c>
      <c r="D24" s="14" t="s">
        <v>5</v>
      </c>
      <c r="E24" s="12" t="s">
        <v>61</v>
      </c>
      <c r="F24" s="26" t="str">
        <f t="shared" ca="1" si="0"/>
        <v/>
      </c>
      <c r="G24" s="62"/>
      <c r="H24" s="55"/>
      <c r="I24" t="str">
        <v>Génesis Montilla</v>
      </c>
    </row>
    <row r="25" spans="1:10" x14ac:dyDescent="0.25">
      <c r="A25" s="60">
        <v>3</v>
      </c>
      <c r="B25" s="42" t="s">
        <v>101</v>
      </c>
      <c r="C25" s="14" t="s">
        <v>5</v>
      </c>
      <c r="D25" s="14" t="s">
        <v>6</v>
      </c>
      <c r="E25" s="12" t="s">
        <v>8</v>
      </c>
      <c r="F25" s="26" t="str">
        <f t="shared" ref="F25:F71" ca="1" si="1">IF(AND(C25="NO",D25="NO"),IF(F25="",TODAY(),F25),"")</f>
        <v/>
      </c>
      <c r="G25" s="62"/>
      <c r="H25" s="55"/>
      <c r="I25" t="str">
        <v>Ruth Hernández</v>
      </c>
    </row>
    <row r="26" spans="1:10" x14ac:dyDescent="0.25">
      <c r="A26" s="60">
        <v>4</v>
      </c>
      <c r="B26" s="42" t="s">
        <v>102</v>
      </c>
      <c r="C26" s="14" t="s">
        <v>5</v>
      </c>
      <c r="D26" s="14" t="s">
        <v>5</v>
      </c>
      <c r="E26" s="12" t="s">
        <v>8</v>
      </c>
      <c r="F26" s="26" t="str">
        <f t="shared" ca="1" si="1"/>
        <v/>
      </c>
      <c r="G26" s="62"/>
      <c r="H26" s="55"/>
      <c r="I26" t="str">
        <v>Caty García</v>
      </c>
    </row>
    <row r="27" spans="1:10" x14ac:dyDescent="0.25">
      <c r="A27" s="60">
        <v>5</v>
      </c>
      <c r="B27" s="42" t="s">
        <v>103</v>
      </c>
      <c r="C27" s="14" t="s">
        <v>5</v>
      </c>
      <c r="D27" s="14" t="s">
        <v>6</v>
      </c>
      <c r="E27" s="12" t="s">
        <v>8</v>
      </c>
      <c r="F27" s="26" t="str">
        <f t="shared" ca="1" si="1"/>
        <v/>
      </c>
      <c r="G27" s="62"/>
      <c r="H27" s="55"/>
      <c r="I27" t="str">
        <v>Morela García</v>
      </c>
    </row>
    <row r="28" spans="1:10" x14ac:dyDescent="0.25">
      <c r="A28" s="60">
        <v>6</v>
      </c>
      <c r="B28" s="42" t="s">
        <v>104</v>
      </c>
      <c r="C28" s="14" t="s">
        <v>5</v>
      </c>
      <c r="D28" s="14" t="s">
        <v>6</v>
      </c>
      <c r="E28" s="12" t="s">
        <v>8</v>
      </c>
      <c r="F28" s="26" t="str">
        <f t="shared" ca="1" si="1"/>
        <v/>
      </c>
      <c r="G28" s="62"/>
      <c r="H28" s="55"/>
      <c r="I28" t="str">
        <v xml:space="preserve">Yurbin Hernández </v>
      </c>
    </row>
    <row r="29" spans="1:10" x14ac:dyDescent="0.25">
      <c r="A29" s="60">
        <v>7</v>
      </c>
      <c r="B29" s="42" t="s">
        <v>105</v>
      </c>
      <c r="C29" s="14" t="s">
        <v>5</v>
      </c>
      <c r="D29" s="14" t="s">
        <v>5</v>
      </c>
      <c r="E29" s="12" t="s">
        <v>8</v>
      </c>
      <c r="F29" s="26" t="str">
        <f t="shared" ca="1" si="1"/>
        <v/>
      </c>
      <c r="G29" s="62"/>
      <c r="H29" s="55"/>
      <c r="I29" t="str">
        <v>Abraham Duarte</v>
      </c>
    </row>
    <row r="30" spans="1:10" x14ac:dyDescent="0.25">
      <c r="A30" s="60">
        <v>8</v>
      </c>
      <c r="B30" s="42" t="s">
        <v>78</v>
      </c>
      <c r="C30" s="14" t="s">
        <v>5</v>
      </c>
      <c r="D30" s="14" t="s">
        <v>5</v>
      </c>
      <c r="E30" s="12" t="s">
        <v>8</v>
      </c>
      <c r="F30" s="26" t="str">
        <f t="shared" ca="1" si="1"/>
        <v/>
      </c>
      <c r="G30" s="62"/>
      <c r="H30" s="55"/>
      <c r="I30" t="str">
        <v>Yurbelis Hernández</v>
      </c>
    </row>
    <row r="31" spans="1:10" x14ac:dyDescent="0.25">
      <c r="A31" s="60">
        <v>9</v>
      </c>
      <c r="B31" s="42" t="s">
        <v>106</v>
      </c>
      <c r="C31" s="14" t="s">
        <v>5</v>
      </c>
      <c r="D31" s="14" t="s">
        <v>6</v>
      </c>
      <c r="E31" s="12" t="s">
        <v>8</v>
      </c>
      <c r="F31" s="26" t="str">
        <f t="shared" ca="1" si="1"/>
        <v/>
      </c>
      <c r="G31" s="62"/>
      <c r="H31" s="55"/>
      <c r="I31" t="str">
        <v>José Moncada</v>
      </c>
    </row>
    <row r="32" spans="1:10" ht="21" x14ac:dyDescent="0.25">
      <c r="A32" s="60">
        <v>10</v>
      </c>
      <c r="B32" s="42" t="s">
        <v>107</v>
      </c>
      <c r="C32" s="14" t="s">
        <v>5</v>
      </c>
      <c r="D32" s="14" t="s">
        <v>6</v>
      </c>
      <c r="E32" s="12" t="s">
        <v>8</v>
      </c>
      <c r="F32" s="26" t="str">
        <f t="shared" ca="1" si="1"/>
        <v/>
      </c>
      <c r="G32" s="62"/>
      <c r="H32" s="55"/>
      <c r="I32" s="4"/>
      <c r="J32" s="49">
        <f>C129</f>
        <v>9</v>
      </c>
    </row>
    <row r="33" spans="1:8" x14ac:dyDescent="0.25">
      <c r="A33" s="60">
        <v>11</v>
      </c>
      <c r="B33" s="42" t="s">
        <v>108</v>
      </c>
      <c r="C33" s="14" t="s">
        <v>5</v>
      </c>
      <c r="D33" s="14" t="s">
        <v>6</v>
      </c>
      <c r="E33" s="12" t="s">
        <v>8</v>
      </c>
      <c r="F33" s="26" t="str">
        <f t="shared" ca="1" si="1"/>
        <v/>
      </c>
      <c r="G33" s="62"/>
      <c r="H33" s="55"/>
    </row>
    <row r="34" spans="1:8" x14ac:dyDescent="0.25">
      <c r="A34" s="60">
        <v>12</v>
      </c>
      <c r="B34" s="42" t="s">
        <v>109</v>
      </c>
      <c r="C34" s="14" t="s">
        <v>5</v>
      </c>
      <c r="D34" s="14" t="s">
        <v>6</v>
      </c>
      <c r="E34" s="12" t="s">
        <v>21</v>
      </c>
      <c r="F34" s="26" t="str">
        <f t="shared" ca="1" si="1"/>
        <v/>
      </c>
      <c r="G34" s="62"/>
      <c r="H34" s="55"/>
    </row>
    <row r="35" spans="1:8" x14ac:dyDescent="0.25">
      <c r="A35" s="60">
        <v>13</v>
      </c>
      <c r="B35" s="42" t="s">
        <v>110</v>
      </c>
      <c r="C35" s="14" t="s">
        <v>5</v>
      </c>
      <c r="D35" s="14" t="s">
        <v>6</v>
      </c>
      <c r="E35" s="12" t="s">
        <v>21</v>
      </c>
      <c r="F35" s="26" t="str">
        <f t="shared" ca="1" si="1"/>
        <v/>
      </c>
      <c r="G35" s="62"/>
      <c r="H35" s="55"/>
    </row>
    <row r="36" spans="1:8" x14ac:dyDescent="0.25">
      <c r="A36" s="60">
        <v>14</v>
      </c>
      <c r="B36" s="42" t="s">
        <v>111</v>
      </c>
      <c r="C36" s="14" t="s">
        <v>5</v>
      </c>
      <c r="D36" s="14" t="s">
        <v>6</v>
      </c>
      <c r="E36" s="12" t="s">
        <v>21</v>
      </c>
      <c r="F36" s="26" t="str">
        <f t="shared" ca="1" si="1"/>
        <v/>
      </c>
      <c r="G36" s="62"/>
      <c r="H36" s="55"/>
    </row>
    <row r="37" spans="1:8" x14ac:dyDescent="0.25">
      <c r="A37" s="60">
        <v>15</v>
      </c>
      <c r="B37" s="42" t="s">
        <v>112</v>
      </c>
      <c r="C37" s="14" t="s">
        <v>5</v>
      </c>
      <c r="D37" s="14" t="s">
        <v>6</v>
      </c>
      <c r="E37" s="12" t="s">
        <v>21</v>
      </c>
      <c r="F37" s="26" t="str">
        <f t="shared" ca="1" si="1"/>
        <v/>
      </c>
      <c r="G37" s="62"/>
      <c r="H37" s="55"/>
    </row>
    <row r="38" spans="1:8" x14ac:dyDescent="0.25">
      <c r="A38" s="60">
        <v>16</v>
      </c>
      <c r="B38" s="42" t="s">
        <v>93</v>
      </c>
      <c r="C38" s="14" t="s">
        <v>5</v>
      </c>
      <c r="D38" s="14" t="s">
        <v>6</v>
      </c>
      <c r="E38" s="12" t="s">
        <v>21</v>
      </c>
      <c r="F38" s="26" t="str">
        <f t="shared" ca="1" si="1"/>
        <v/>
      </c>
      <c r="G38" s="62"/>
      <c r="H38" s="55"/>
    </row>
    <row r="39" spans="1:8" x14ac:dyDescent="0.25">
      <c r="A39" s="60">
        <v>17</v>
      </c>
      <c r="B39" s="42" t="s">
        <v>113</v>
      </c>
      <c r="C39" s="14" t="s">
        <v>5</v>
      </c>
      <c r="D39" s="14" t="s">
        <v>6</v>
      </c>
      <c r="E39" s="12" t="s">
        <v>8</v>
      </c>
      <c r="F39" s="26" t="str">
        <f t="shared" ca="1" si="1"/>
        <v/>
      </c>
      <c r="G39" s="62"/>
      <c r="H39" s="55"/>
    </row>
    <row r="40" spans="1:8" x14ac:dyDescent="0.25">
      <c r="A40" s="60">
        <v>18</v>
      </c>
      <c r="B40" s="42" t="s">
        <v>114</v>
      </c>
      <c r="C40" s="14" t="s">
        <v>5</v>
      </c>
      <c r="D40" s="14" t="s">
        <v>6</v>
      </c>
      <c r="E40" s="12" t="s">
        <v>8</v>
      </c>
      <c r="F40" s="26" t="str">
        <f t="shared" ca="1" si="1"/>
        <v/>
      </c>
      <c r="G40" s="62"/>
      <c r="H40" s="55"/>
    </row>
    <row r="41" spans="1:8" x14ac:dyDescent="0.25">
      <c r="A41" s="60">
        <v>19</v>
      </c>
      <c r="B41" s="42" t="s">
        <v>115</v>
      </c>
      <c r="C41" s="14" t="s">
        <v>5</v>
      </c>
      <c r="D41" s="14" t="s">
        <v>6</v>
      </c>
      <c r="E41" s="12" t="s">
        <v>8</v>
      </c>
      <c r="F41" s="26" t="str">
        <f t="shared" ca="1" si="1"/>
        <v/>
      </c>
      <c r="G41" s="62"/>
      <c r="H41" s="55"/>
    </row>
    <row r="42" spans="1:8" x14ac:dyDescent="0.25">
      <c r="A42" s="60">
        <v>20</v>
      </c>
      <c r="B42" s="42" t="s">
        <v>116</v>
      </c>
      <c r="C42" s="14" t="s">
        <v>5</v>
      </c>
      <c r="D42" s="14" t="s">
        <v>6</v>
      </c>
      <c r="E42" s="12" t="s">
        <v>8</v>
      </c>
      <c r="F42" s="26" t="str">
        <f t="shared" ca="1" si="1"/>
        <v/>
      </c>
      <c r="G42" s="62"/>
      <c r="H42" s="55"/>
    </row>
    <row r="43" spans="1:8" x14ac:dyDescent="0.25">
      <c r="A43" s="60">
        <v>21</v>
      </c>
      <c r="B43" s="42" t="s">
        <v>117</v>
      </c>
      <c r="C43" s="14" t="s">
        <v>5</v>
      </c>
      <c r="D43" s="14" t="s">
        <v>6</v>
      </c>
      <c r="E43" s="12" t="s">
        <v>8</v>
      </c>
      <c r="F43" s="26" t="str">
        <f t="shared" ca="1" si="1"/>
        <v/>
      </c>
      <c r="G43" s="62"/>
      <c r="H43" s="55"/>
    </row>
    <row r="44" spans="1:8" x14ac:dyDescent="0.25">
      <c r="A44" s="60">
        <v>22</v>
      </c>
      <c r="B44" s="42" t="s">
        <v>118</v>
      </c>
      <c r="C44" s="14" t="s">
        <v>5</v>
      </c>
      <c r="D44" s="14" t="s">
        <v>6</v>
      </c>
      <c r="E44" s="12" t="s">
        <v>8</v>
      </c>
      <c r="F44" s="26" t="str">
        <f t="shared" ca="1" si="1"/>
        <v/>
      </c>
      <c r="G44" s="62"/>
      <c r="H44" s="55"/>
    </row>
    <row r="45" spans="1:8" x14ac:dyDescent="0.25">
      <c r="A45" s="60">
        <v>23</v>
      </c>
      <c r="B45" s="42" t="s">
        <v>119</v>
      </c>
      <c r="C45" s="14" t="s">
        <v>5</v>
      </c>
      <c r="D45" s="14" t="s">
        <v>6</v>
      </c>
      <c r="E45" s="12" t="s">
        <v>8</v>
      </c>
      <c r="F45" s="26" t="str">
        <f t="shared" ca="1" si="1"/>
        <v/>
      </c>
      <c r="G45" s="62"/>
      <c r="H45" s="55"/>
    </row>
    <row r="46" spans="1:8" x14ac:dyDescent="0.25">
      <c r="A46" s="60">
        <v>24</v>
      </c>
      <c r="B46" s="42" t="s">
        <v>120</v>
      </c>
      <c r="C46" s="14" t="s">
        <v>5</v>
      </c>
      <c r="D46" s="14" t="s">
        <v>6</v>
      </c>
      <c r="E46" s="12" t="s">
        <v>8</v>
      </c>
      <c r="F46" s="26" t="str">
        <f t="shared" ca="1" si="1"/>
        <v/>
      </c>
      <c r="G46" s="62"/>
      <c r="H46" s="55"/>
    </row>
    <row r="47" spans="1:8" x14ac:dyDescent="0.25">
      <c r="A47" s="60">
        <v>25</v>
      </c>
      <c r="B47" s="42" t="s">
        <v>121</v>
      </c>
      <c r="C47" s="14" t="s">
        <v>5</v>
      </c>
      <c r="D47" s="14" t="s">
        <v>6</v>
      </c>
      <c r="E47" s="12" t="s">
        <v>21</v>
      </c>
      <c r="F47" s="26" t="str">
        <f t="shared" ca="1" si="1"/>
        <v/>
      </c>
      <c r="G47" s="62"/>
      <c r="H47" s="55"/>
    </row>
    <row r="48" spans="1:8" x14ac:dyDescent="0.25">
      <c r="A48" s="60">
        <v>26</v>
      </c>
      <c r="B48" s="42" t="s">
        <v>122</v>
      </c>
      <c r="C48" s="14" t="s">
        <v>5</v>
      </c>
      <c r="D48" s="14" t="s">
        <v>6</v>
      </c>
      <c r="E48" s="12" t="s">
        <v>21</v>
      </c>
      <c r="F48" s="26" t="str">
        <f t="shared" ca="1" si="1"/>
        <v/>
      </c>
      <c r="G48" s="62"/>
      <c r="H48" s="55"/>
    </row>
    <row r="49" spans="1:8" x14ac:dyDescent="0.25">
      <c r="A49" s="60">
        <v>27</v>
      </c>
      <c r="B49" s="42" t="s">
        <v>123</v>
      </c>
      <c r="C49" s="14" t="s">
        <v>5</v>
      </c>
      <c r="D49" s="14" t="s">
        <v>6</v>
      </c>
      <c r="E49" s="12" t="s">
        <v>21</v>
      </c>
      <c r="F49" s="26" t="str">
        <f t="shared" ca="1" si="1"/>
        <v/>
      </c>
      <c r="G49" s="62"/>
      <c r="H49" s="55"/>
    </row>
    <row r="50" spans="1:8" x14ac:dyDescent="0.25">
      <c r="A50" s="60">
        <v>28</v>
      </c>
      <c r="B50" s="42" t="s">
        <v>124</v>
      </c>
      <c r="C50" s="14" t="s">
        <v>5</v>
      </c>
      <c r="D50" s="14" t="s">
        <v>6</v>
      </c>
      <c r="E50" s="12" t="s">
        <v>21</v>
      </c>
      <c r="F50" s="26" t="str">
        <f t="shared" ca="1" si="1"/>
        <v/>
      </c>
      <c r="G50" s="62"/>
      <c r="H50" s="55"/>
    </row>
    <row r="51" spans="1:8" x14ac:dyDescent="0.25">
      <c r="A51" s="60">
        <v>29</v>
      </c>
      <c r="B51" s="42" t="s">
        <v>125</v>
      </c>
      <c r="C51" s="14" t="s">
        <v>5</v>
      </c>
      <c r="D51" s="14" t="s">
        <v>6</v>
      </c>
      <c r="E51" s="12" t="s">
        <v>21</v>
      </c>
      <c r="F51" s="26" t="str">
        <f t="shared" ca="1" si="1"/>
        <v/>
      </c>
      <c r="G51" s="62"/>
      <c r="H51" s="55"/>
    </row>
    <row r="52" spans="1:8" x14ac:dyDescent="0.25">
      <c r="A52" s="60">
        <v>30</v>
      </c>
      <c r="B52" s="42" t="s">
        <v>126</v>
      </c>
      <c r="C52" s="14" t="s">
        <v>5</v>
      </c>
      <c r="D52" s="14" t="s">
        <v>6</v>
      </c>
      <c r="E52" s="12" t="s">
        <v>21</v>
      </c>
      <c r="F52" s="26" t="str">
        <f t="shared" ca="1" si="1"/>
        <v/>
      </c>
      <c r="G52" s="62"/>
      <c r="H52" s="55"/>
    </row>
    <row r="53" spans="1:8" x14ac:dyDescent="0.25">
      <c r="A53" s="60">
        <v>31</v>
      </c>
      <c r="B53" s="42" t="s">
        <v>127</v>
      </c>
      <c r="C53" s="14" t="s">
        <v>5</v>
      </c>
      <c r="D53" s="14" t="s">
        <v>6</v>
      </c>
      <c r="E53" s="12" t="s">
        <v>21</v>
      </c>
      <c r="F53" s="26" t="str">
        <f t="shared" ca="1" si="1"/>
        <v/>
      </c>
      <c r="G53" s="62"/>
      <c r="H53" s="55"/>
    </row>
    <row r="54" spans="1:8" x14ac:dyDescent="0.25">
      <c r="A54" s="60">
        <v>32</v>
      </c>
      <c r="B54" s="42" t="s">
        <v>128</v>
      </c>
      <c r="C54" s="14" t="s">
        <v>5</v>
      </c>
      <c r="D54" s="14" t="s">
        <v>6</v>
      </c>
      <c r="E54" s="12" t="s">
        <v>8</v>
      </c>
      <c r="F54" s="26" t="str">
        <f t="shared" ca="1" si="1"/>
        <v/>
      </c>
      <c r="G54" s="62"/>
      <c r="H54" s="55"/>
    </row>
    <row r="55" spans="1:8" x14ac:dyDescent="0.25">
      <c r="A55" s="60">
        <v>33</v>
      </c>
      <c r="B55" s="42" t="s">
        <v>129</v>
      </c>
      <c r="C55" s="14" t="s">
        <v>5</v>
      </c>
      <c r="D55" s="14" t="s">
        <v>6</v>
      </c>
      <c r="E55" s="12" t="s">
        <v>8</v>
      </c>
      <c r="F55" s="26" t="str">
        <f t="shared" ca="1" si="1"/>
        <v/>
      </c>
      <c r="G55" s="62"/>
      <c r="H55" s="55"/>
    </row>
    <row r="56" spans="1:8" x14ac:dyDescent="0.25">
      <c r="A56" s="60">
        <v>34</v>
      </c>
      <c r="B56" s="42" t="s">
        <v>130</v>
      </c>
      <c r="C56" s="14" t="s">
        <v>5</v>
      </c>
      <c r="D56" s="14" t="s">
        <v>6</v>
      </c>
      <c r="E56" s="12" t="s">
        <v>8</v>
      </c>
      <c r="F56" s="26" t="str">
        <f t="shared" ca="1" si="1"/>
        <v/>
      </c>
      <c r="G56" s="62"/>
      <c r="H56" s="55"/>
    </row>
    <row r="57" spans="1:8" x14ac:dyDescent="0.25">
      <c r="A57" s="60">
        <v>35</v>
      </c>
      <c r="B57" s="42" t="s">
        <v>131</v>
      </c>
      <c r="C57" s="14" t="s">
        <v>5</v>
      </c>
      <c r="D57" s="14" t="s">
        <v>6</v>
      </c>
      <c r="E57" s="12" t="s">
        <v>8</v>
      </c>
      <c r="F57" s="26" t="str">
        <f t="shared" ca="1" si="1"/>
        <v/>
      </c>
      <c r="G57" s="62"/>
      <c r="H57" s="55"/>
    </row>
    <row r="58" spans="1:8" x14ac:dyDescent="0.25">
      <c r="A58" s="60">
        <v>36</v>
      </c>
      <c r="B58" s="42" t="s">
        <v>132</v>
      </c>
      <c r="C58" s="14" t="s">
        <v>5</v>
      </c>
      <c r="D58" s="14" t="s">
        <v>6</v>
      </c>
      <c r="E58" s="12" t="s">
        <v>8</v>
      </c>
      <c r="F58" s="26" t="str">
        <f t="shared" ca="1" si="1"/>
        <v/>
      </c>
      <c r="G58" s="62"/>
      <c r="H58" s="55"/>
    </row>
    <row r="59" spans="1:8" x14ac:dyDescent="0.25">
      <c r="A59" s="60">
        <v>37</v>
      </c>
      <c r="B59" s="42" t="s">
        <v>133</v>
      </c>
      <c r="C59" s="14" t="s">
        <v>5</v>
      </c>
      <c r="D59" s="14" t="s">
        <v>6</v>
      </c>
      <c r="E59" s="12" t="s">
        <v>8</v>
      </c>
      <c r="F59" s="26" t="str">
        <f t="shared" ca="1" si="1"/>
        <v/>
      </c>
      <c r="G59" s="62"/>
      <c r="H59" s="55"/>
    </row>
    <row r="60" spans="1:8" x14ac:dyDescent="0.25">
      <c r="A60" s="60">
        <v>38</v>
      </c>
      <c r="B60" s="42" t="s">
        <v>134</v>
      </c>
      <c r="C60" s="14" t="s">
        <v>5</v>
      </c>
      <c r="D60" s="14" t="s">
        <v>6</v>
      </c>
      <c r="E60" s="12" t="s">
        <v>8</v>
      </c>
      <c r="F60" s="26" t="str">
        <f t="shared" ca="1" si="1"/>
        <v/>
      </c>
      <c r="G60" s="62"/>
      <c r="H60" s="55"/>
    </row>
    <row r="61" spans="1:8" x14ac:dyDescent="0.25">
      <c r="A61" s="60">
        <v>39</v>
      </c>
      <c r="B61" s="42" t="s">
        <v>135</v>
      </c>
      <c r="C61" s="14" t="s">
        <v>5</v>
      </c>
      <c r="D61" s="14" t="s">
        <v>6</v>
      </c>
      <c r="E61" s="12" t="s">
        <v>8</v>
      </c>
      <c r="F61" s="26" t="str">
        <f t="shared" ca="1" si="1"/>
        <v/>
      </c>
      <c r="G61" s="62"/>
      <c r="H61" s="55"/>
    </row>
    <row r="62" spans="1:8" x14ac:dyDescent="0.25">
      <c r="A62" s="60">
        <v>40</v>
      </c>
      <c r="B62" s="42" t="s">
        <v>136</v>
      </c>
      <c r="C62" s="14" t="s">
        <v>5</v>
      </c>
      <c r="D62" s="14" t="s">
        <v>6</v>
      </c>
      <c r="E62" s="12" t="s">
        <v>8</v>
      </c>
      <c r="F62" s="26" t="str">
        <f t="shared" ca="1" si="1"/>
        <v/>
      </c>
      <c r="G62" s="62"/>
      <c r="H62" s="55"/>
    </row>
    <row r="63" spans="1:8" x14ac:dyDescent="0.25">
      <c r="A63" s="60">
        <v>41</v>
      </c>
      <c r="B63" s="42" t="s">
        <v>137</v>
      </c>
      <c r="C63" s="14" t="s">
        <v>5</v>
      </c>
      <c r="D63" s="14" t="s">
        <v>6</v>
      </c>
      <c r="E63" s="12" t="s">
        <v>8</v>
      </c>
      <c r="F63" s="26" t="str">
        <f t="shared" ca="1" si="1"/>
        <v/>
      </c>
      <c r="G63" s="62"/>
      <c r="H63" s="55"/>
    </row>
    <row r="64" spans="1:8" x14ac:dyDescent="0.25">
      <c r="A64" s="60">
        <v>42</v>
      </c>
      <c r="B64" s="42" t="s">
        <v>138</v>
      </c>
      <c r="C64" s="14" t="s">
        <v>6</v>
      </c>
      <c r="D64" s="14" t="s">
        <v>6</v>
      </c>
      <c r="E64" s="12" t="s">
        <v>8</v>
      </c>
      <c r="F64" s="26">
        <f t="shared" ca="1" si="1"/>
        <v>46242</v>
      </c>
      <c r="G64" s="62"/>
      <c r="H64" s="55"/>
    </row>
    <row r="65" spans="1:10" x14ac:dyDescent="0.25">
      <c r="A65" s="60">
        <v>43</v>
      </c>
      <c r="B65" s="42" t="s">
        <v>139</v>
      </c>
      <c r="C65" s="14" t="s">
        <v>6</v>
      </c>
      <c r="D65" s="14" t="s">
        <v>6</v>
      </c>
      <c r="E65" s="12" t="s">
        <v>8</v>
      </c>
      <c r="F65" s="26">
        <f t="shared" ca="1" si="1"/>
        <v>46242</v>
      </c>
      <c r="G65" s="62"/>
      <c r="H65" s="55"/>
    </row>
    <row r="66" spans="1:10" x14ac:dyDescent="0.25">
      <c r="A66" s="60">
        <v>44</v>
      </c>
      <c r="B66" s="42" t="s">
        <v>140</v>
      </c>
      <c r="C66" s="14" t="s">
        <v>5</v>
      </c>
      <c r="D66" s="14" t="s">
        <v>6</v>
      </c>
      <c r="E66" s="12" t="s">
        <v>21</v>
      </c>
      <c r="F66" s="26" t="str">
        <f t="shared" ca="1" si="1"/>
        <v/>
      </c>
      <c r="G66" s="62"/>
      <c r="H66" s="55"/>
    </row>
    <row r="67" spans="1:10" x14ac:dyDescent="0.25">
      <c r="A67" s="60">
        <v>45</v>
      </c>
      <c r="B67" s="42" t="s">
        <v>145</v>
      </c>
      <c r="C67" s="14" t="s">
        <v>5</v>
      </c>
      <c r="D67" s="14" t="s">
        <v>6</v>
      </c>
      <c r="E67" s="12" t="s">
        <v>21</v>
      </c>
      <c r="F67" s="26" t="str">
        <f t="shared" ca="1" si="1"/>
        <v/>
      </c>
      <c r="G67" s="62"/>
      <c r="H67" s="55"/>
    </row>
    <row r="68" spans="1:10" x14ac:dyDescent="0.25">
      <c r="A68" s="60">
        <v>46</v>
      </c>
      <c r="B68" s="42" t="s">
        <v>144</v>
      </c>
      <c r="C68" s="14" t="s">
        <v>5</v>
      </c>
      <c r="D68" s="14" t="s">
        <v>6</v>
      </c>
      <c r="E68" s="12" t="s">
        <v>21</v>
      </c>
      <c r="F68" s="26" t="str">
        <f t="shared" ca="1" si="1"/>
        <v/>
      </c>
      <c r="G68" s="62"/>
      <c r="H68" s="55"/>
    </row>
    <row r="69" spans="1:10" x14ac:dyDescent="0.25">
      <c r="A69" s="60">
        <v>47</v>
      </c>
      <c r="B69" s="42" t="s">
        <v>143</v>
      </c>
      <c r="C69" s="14" t="s">
        <v>5</v>
      </c>
      <c r="D69" s="14" t="s">
        <v>6</v>
      </c>
      <c r="E69" s="12" t="s">
        <v>21</v>
      </c>
      <c r="F69" s="26" t="str">
        <f t="shared" ca="1" si="1"/>
        <v/>
      </c>
      <c r="G69" s="62"/>
      <c r="H69" s="55"/>
    </row>
    <row r="70" spans="1:10" x14ac:dyDescent="0.25">
      <c r="A70" s="60">
        <v>48</v>
      </c>
      <c r="B70" s="42" t="s">
        <v>142</v>
      </c>
      <c r="C70" s="14" t="s">
        <v>5</v>
      </c>
      <c r="D70" s="14" t="s">
        <v>6</v>
      </c>
      <c r="E70" s="12" t="s">
        <v>21</v>
      </c>
      <c r="F70" s="26" t="str">
        <f t="shared" ca="1" si="1"/>
        <v/>
      </c>
      <c r="G70" s="62"/>
      <c r="H70" s="55"/>
    </row>
    <row r="71" spans="1:10" x14ac:dyDescent="0.25">
      <c r="A71" s="60">
        <v>49</v>
      </c>
      <c r="B71" s="42" t="s">
        <v>141</v>
      </c>
      <c r="C71" s="14" t="s">
        <v>5</v>
      </c>
      <c r="D71" s="14" t="s">
        <v>6</v>
      </c>
      <c r="E71" s="12" t="s">
        <v>21</v>
      </c>
      <c r="F71" s="26" t="str">
        <f t="shared" ca="1" si="1"/>
        <v/>
      </c>
      <c r="G71" s="62"/>
      <c r="H71" s="55"/>
    </row>
    <row r="72" spans="1:10" ht="15" customHeight="1" x14ac:dyDescent="0.25">
      <c r="A72" s="60">
        <v>54</v>
      </c>
      <c r="B72" s="42" t="s">
        <v>79</v>
      </c>
      <c r="C72" s="14" t="s">
        <v>6</v>
      </c>
      <c r="D72" s="14" t="s">
        <v>6</v>
      </c>
      <c r="E72" s="12" t="s">
        <v>30</v>
      </c>
      <c r="F72" s="26">
        <f t="shared" ca="1" si="0"/>
        <v>46242</v>
      </c>
      <c r="G72" s="62"/>
      <c r="I72" s="4"/>
      <c r="J72" s="4"/>
    </row>
    <row r="73" spans="1:10" x14ac:dyDescent="0.25">
      <c r="A73" s="60">
        <v>55</v>
      </c>
      <c r="B73" s="42" t="s">
        <v>80</v>
      </c>
      <c r="C73" s="14" t="s">
        <v>5</v>
      </c>
      <c r="D73" s="14" t="s">
        <v>5</v>
      </c>
      <c r="E73" s="12" t="s">
        <v>30</v>
      </c>
      <c r="F73" s="26" t="str">
        <f t="shared" ca="1" si="0"/>
        <v/>
      </c>
      <c r="G73" s="62"/>
      <c r="I73" s="4"/>
      <c r="J73" s="4"/>
    </row>
    <row r="74" spans="1:10" x14ac:dyDescent="0.25">
      <c r="A74" s="60">
        <v>56</v>
      </c>
      <c r="B74" s="42" t="s">
        <v>81</v>
      </c>
      <c r="C74" s="14" t="s">
        <v>6</v>
      </c>
      <c r="D74" s="14" t="s">
        <v>5</v>
      </c>
      <c r="E74" s="12" t="s">
        <v>30</v>
      </c>
      <c r="F74" s="26" t="str">
        <f t="shared" ca="1" si="0"/>
        <v/>
      </c>
      <c r="G74" s="62"/>
      <c r="I74" s="4"/>
      <c r="J74" s="4"/>
    </row>
    <row r="75" spans="1:10" x14ac:dyDescent="0.25">
      <c r="A75" s="60">
        <v>57</v>
      </c>
      <c r="B75" s="42" t="s">
        <v>82</v>
      </c>
      <c r="C75" s="14" t="s">
        <v>6</v>
      </c>
      <c r="D75" s="14" t="s">
        <v>6</v>
      </c>
      <c r="E75" s="12" t="s">
        <v>30</v>
      </c>
      <c r="F75" s="26">
        <f t="shared" ca="1" si="0"/>
        <v>46242</v>
      </c>
      <c r="G75" s="62"/>
      <c r="I75" s="4"/>
      <c r="J75" s="4"/>
    </row>
    <row r="76" spans="1:10" x14ac:dyDescent="0.25">
      <c r="A76" s="60">
        <v>58</v>
      </c>
      <c r="B76" s="42" t="s">
        <v>83</v>
      </c>
      <c r="C76" s="14" t="s">
        <v>6</v>
      </c>
      <c r="D76" s="14" t="s">
        <v>6</v>
      </c>
      <c r="E76" s="12" t="s">
        <v>30</v>
      </c>
      <c r="F76" s="26">
        <f t="shared" ca="1" si="0"/>
        <v>46242</v>
      </c>
      <c r="G76" s="63">
        <v>584122838159</v>
      </c>
      <c r="I76" s="4"/>
      <c r="J76" s="4"/>
    </row>
    <row r="77" spans="1:10" ht="15" customHeight="1" x14ac:dyDescent="0.25">
      <c r="A77" s="60">
        <v>59</v>
      </c>
      <c r="B77" s="61" t="s">
        <v>88</v>
      </c>
      <c r="C77" s="14" t="s">
        <v>6</v>
      </c>
      <c r="D77" s="14" t="s">
        <v>6</v>
      </c>
      <c r="E77" s="12" t="s">
        <v>21</v>
      </c>
      <c r="F77" s="26">
        <f t="shared" ca="1" si="0"/>
        <v>46242</v>
      </c>
      <c r="G77" s="62"/>
    </row>
    <row r="78" spans="1:10" x14ac:dyDescent="0.25">
      <c r="A78" s="60">
        <v>60</v>
      </c>
      <c r="B78" s="61" t="s">
        <v>89</v>
      </c>
      <c r="C78" s="14" t="s">
        <v>6</v>
      </c>
      <c r="D78" s="14" t="s">
        <v>6</v>
      </c>
      <c r="E78" s="12" t="s">
        <v>21</v>
      </c>
      <c r="F78" s="26">
        <f t="shared" ca="1" si="0"/>
        <v>46242</v>
      </c>
      <c r="G78" s="62"/>
      <c r="I78" s="4"/>
      <c r="J78" s="4"/>
    </row>
    <row r="79" spans="1:10" x14ac:dyDescent="0.25">
      <c r="A79" s="60">
        <v>61</v>
      </c>
      <c r="B79" s="61" t="s">
        <v>84</v>
      </c>
      <c r="C79" s="14" t="s">
        <v>6</v>
      </c>
      <c r="D79" s="14" t="s">
        <v>6</v>
      </c>
      <c r="E79" s="12" t="s">
        <v>21</v>
      </c>
      <c r="F79" s="26">
        <f t="shared" ca="1" si="0"/>
        <v>46242</v>
      </c>
      <c r="G79" s="62"/>
    </row>
    <row r="80" spans="1:10" ht="15.75" customHeight="1" x14ac:dyDescent="0.25">
      <c r="A80" s="60">
        <v>62</v>
      </c>
      <c r="B80" s="61" t="s">
        <v>90</v>
      </c>
      <c r="C80" s="14" t="s">
        <v>5</v>
      </c>
      <c r="D80" s="14" t="s">
        <v>5</v>
      </c>
      <c r="E80" s="12" t="s">
        <v>21</v>
      </c>
      <c r="F80" s="26" t="str">
        <f t="shared" ca="1" si="0"/>
        <v/>
      </c>
      <c r="G80" s="62"/>
      <c r="I80" s="4"/>
      <c r="J80" s="4"/>
    </row>
    <row r="81" spans="1:10" ht="15" customHeight="1" x14ac:dyDescent="0.25">
      <c r="A81" s="60">
        <v>63</v>
      </c>
      <c r="B81" s="61" t="s">
        <v>91</v>
      </c>
      <c r="C81" s="14" t="s">
        <v>5</v>
      </c>
      <c r="D81" s="14" t="s">
        <v>5</v>
      </c>
      <c r="E81" s="12" t="s">
        <v>21</v>
      </c>
      <c r="F81" s="26" t="str">
        <f t="shared" ca="1" si="0"/>
        <v/>
      </c>
      <c r="G81" s="62"/>
      <c r="I81" s="4"/>
      <c r="J81" s="4"/>
    </row>
    <row r="82" spans="1:10" ht="15" customHeight="1" x14ac:dyDescent="0.25">
      <c r="A82" s="60">
        <v>64</v>
      </c>
      <c r="B82" s="61" t="s">
        <v>85</v>
      </c>
      <c r="C82" s="14" t="s">
        <v>6</v>
      </c>
      <c r="D82" s="14" t="s">
        <v>6</v>
      </c>
      <c r="E82" s="12" t="s">
        <v>21</v>
      </c>
      <c r="F82" s="26">
        <f t="shared" ca="1" si="0"/>
        <v>46242</v>
      </c>
      <c r="G82" s="62"/>
    </row>
    <row r="83" spans="1:10" x14ac:dyDescent="0.25">
      <c r="A83" s="60">
        <v>65</v>
      </c>
      <c r="B83" s="61" t="s">
        <v>92</v>
      </c>
      <c r="C83" s="14" t="s">
        <v>6</v>
      </c>
      <c r="D83" s="14" t="s">
        <v>6</v>
      </c>
      <c r="E83" s="12" t="s">
        <v>21</v>
      </c>
      <c r="F83" s="26">
        <f t="shared" ca="1" si="0"/>
        <v>46242</v>
      </c>
      <c r="G83" s="62"/>
    </row>
    <row r="84" spans="1:10" ht="15" customHeight="1" x14ac:dyDescent="0.25">
      <c r="A84" s="60">
        <v>66</v>
      </c>
      <c r="B84" s="61" t="s">
        <v>86</v>
      </c>
      <c r="C84" s="14" t="s">
        <v>6</v>
      </c>
      <c r="D84" s="14" t="s">
        <v>6</v>
      </c>
      <c r="E84" s="12" t="s">
        <v>21</v>
      </c>
      <c r="F84" s="26">
        <f t="shared" ca="1" si="0"/>
        <v>46242</v>
      </c>
      <c r="G84" s="62"/>
    </row>
    <row r="85" spans="1:10" x14ac:dyDescent="0.25">
      <c r="A85" s="60">
        <v>67</v>
      </c>
      <c r="B85" s="61" t="s">
        <v>93</v>
      </c>
      <c r="C85" s="14" t="s">
        <v>6</v>
      </c>
      <c r="D85" s="14" t="s">
        <v>6</v>
      </c>
      <c r="E85" s="12" t="s">
        <v>21</v>
      </c>
      <c r="F85" s="26">
        <f t="shared" ca="1" si="0"/>
        <v>46242</v>
      </c>
      <c r="G85" s="62"/>
    </row>
    <row r="86" spans="1:10" x14ac:dyDescent="0.25">
      <c r="A86" s="60">
        <v>68</v>
      </c>
      <c r="B86" s="61" t="s">
        <v>94</v>
      </c>
      <c r="C86" s="14" t="s">
        <v>6</v>
      </c>
      <c r="D86" s="14" t="s">
        <v>6</v>
      </c>
      <c r="E86" s="12" t="s">
        <v>21</v>
      </c>
      <c r="F86" s="26">
        <f t="shared" ca="1" si="0"/>
        <v>46242</v>
      </c>
      <c r="G86" s="62"/>
    </row>
    <row r="87" spans="1:10" x14ac:dyDescent="0.25">
      <c r="A87" s="60">
        <v>69</v>
      </c>
      <c r="B87" s="61" t="s">
        <v>95</v>
      </c>
      <c r="C87" s="14" t="s">
        <v>6</v>
      </c>
      <c r="D87" s="14" t="s">
        <v>6</v>
      </c>
      <c r="E87" s="12" t="s">
        <v>21</v>
      </c>
      <c r="F87" s="26">
        <f t="shared" ca="1" si="0"/>
        <v>46242</v>
      </c>
      <c r="G87" s="64"/>
    </row>
    <row r="88" spans="1:10" x14ac:dyDescent="0.25">
      <c r="A88" s="60">
        <v>70</v>
      </c>
      <c r="B88" s="61" t="s">
        <v>146</v>
      </c>
      <c r="C88" s="14" t="s">
        <v>6</v>
      </c>
      <c r="D88" s="14" t="s">
        <v>6</v>
      </c>
      <c r="E88" s="12" t="s">
        <v>8</v>
      </c>
      <c r="F88" s="26">
        <f t="shared" ca="1" si="0"/>
        <v>46242</v>
      </c>
      <c r="G88" s="64"/>
    </row>
    <row r="89" spans="1:10" x14ac:dyDescent="0.25">
      <c r="A89" s="60">
        <v>71</v>
      </c>
      <c r="B89" s="61" t="s">
        <v>147</v>
      </c>
      <c r="C89" s="14" t="s">
        <v>6</v>
      </c>
      <c r="D89" s="14" t="s">
        <v>6</v>
      </c>
      <c r="E89" s="12" t="s">
        <v>8</v>
      </c>
      <c r="F89" s="26">
        <f t="shared" ca="1" si="0"/>
        <v>46242</v>
      </c>
      <c r="G89" s="64"/>
    </row>
    <row r="90" spans="1:10" x14ac:dyDescent="0.25">
      <c r="A90" s="60">
        <v>72</v>
      </c>
      <c r="B90" s="61" t="s">
        <v>148</v>
      </c>
      <c r="C90" s="14" t="s">
        <v>6</v>
      </c>
      <c r="D90" s="14" t="s">
        <v>6</v>
      </c>
      <c r="E90" s="12" t="s">
        <v>8</v>
      </c>
      <c r="F90" s="26">
        <f t="shared" ca="1" si="0"/>
        <v>46242</v>
      </c>
      <c r="G90" s="64"/>
    </row>
    <row r="91" spans="1:10" x14ac:dyDescent="0.25">
      <c r="A91" s="60">
        <v>73</v>
      </c>
      <c r="B91" s="61" t="s">
        <v>149</v>
      </c>
      <c r="C91" s="14" t="s">
        <v>6</v>
      </c>
      <c r="D91" s="14" t="s">
        <v>6</v>
      </c>
      <c r="E91" s="12" t="s">
        <v>8</v>
      </c>
      <c r="F91" s="26">
        <f t="shared" ca="1" si="0"/>
        <v>46242</v>
      </c>
      <c r="G91" s="64"/>
    </row>
    <row r="92" spans="1:10" x14ac:dyDescent="0.25">
      <c r="A92" s="60">
        <v>74</v>
      </c>
      <c r="B92" s="61" t="s">
        <v>150</v>
      </c>
      <c r="C92" s="14" t="s">
        <v>6</v>
      </c>
      <c r="D92" s="14" t="s">
        <v>6</v>
      </c>
      <c r="E92" s="12" t="s">
        <v>8</v>
      </c>
      <c r="F92" s="26">
        <f t="shared" ca="1" si="0"/>
        <v>46242</v>
      </c>
      <c r="G92" s="64"/>
    </row>
    <row r="93" spans="1:10" x14ac:dyDescent="0.25">
      <c r="A93" s="60">
        <v>75</v>
      </c>
      <c r="B93" s="61" t="s">
        <v>60</v>
      </c>
      <c r="C93" s="14" t="s">
        <v>6</v>
      </c>
      <c r="D93" s="14" t="s">
        <v>6</v>
      </c>
      <c r="E93" s="12" t="s">
        <v>8</v>
      </c>
      <c r="F93" s="26">
        <f t="shared" ca="1" si="0"/>
        <v>46242</v>
      </c>
      <c r="G93" s="64"/>
    </row>
    <row r="94" spans="1:10" x14ac:dyDescent="0.25">
      <c r="A94" s="60">
        <v>76</v>
      </c>
      <c r="B94" s="61" t="s">
        <v>22</v>
      </c>
      <c r="C94" s="14" t="s">
        <v>6</v>
      </c>
      <c r="D94" s="14" t="s">
        <v>6</v>
      </c>
      <c r="E94" s="12" t="s">
        <v>8</v>
      </c>
      <c r="F94" s="26">
        <f t="shared" ca="1" si="0"/>
        <v>46242</v>
      </c>
      <c r="G94" s="64"/>
    </row>
    <row r="95" spans="1:10" x14ac:dyDescent="0.25">
      <c r="A95" s="60">
        <v>77</v>
      </c>
      <c r="B95" s="61" t="s">
        <v>151</v>
      </c>
      <c r="C95" s="14" t="s">
        <v>6</v>
      </c>
      <c r="D95" s="14" t="s">
        <v>6</v>
      </c>
      <c r="E95" s="12" t="s">
        <v>8</v>
      </c>
      <c r="F95" s="26">
        <f t="shared" ca="1" si="0"/>
        <v>46242</v>
      </c>
      <c r="G95" s="64"/>
    </row>
    <row r="96" spans="1:10" x14ac:dyDescent="0.25">
      <c r="A96" s="60">
        <v>79</v>
      </c>
      <c r="B96" s="61" t="s">
        <v>152</v>
      </c>
      <c r="C96" s="14" t="s">
        <v>6</v>
      </c>
      <c r="D96" s="14" t="s">
        <v>6</v>
      </c>
      <c r="E96" s="12" t="s">
        <v>8</v>
      </c>
      <c r="F96" s="26">
        <f t="shared" ca="1" si="0"/>
        <v>46242</v>
      </c>
      <c r="G96" s="64"/>
    </row>
    <row r="97" spans="1:7" x14ac:dyDescent="0.25">
      <c r="A97" s="60">
        <v>80</v>
      </c>
      <c r="B97" s="61" t="s">
        <v>153</v>
      </c>
      <c r="C97" s="14" t="s">
        <v>6</v>
      </c>
      <c r="D97" s="14" t="s">
        <v>6</v>
      </c>
      <c r="E97" s="12" t="s">
        <v>8</v>
      </c>
      <c r="F97" s="26">
        <f t="shared" ca="1" si="0"/>
        <v>46242</v>
      </c>
      <c r="G97" s="64"/>
    </row>
    <row r="98" spans="1:7" x14ac:dyDescent="0.25">
      <c r="A98" s="60">
        <v>81</v>
      </c>
      <c r="B98" s="61" t="s">
        <v>154</v>
      </c>
      <c r="C98" s="14" t="s">
        <v>6</v>
      </c>
      <c r="D98" s="14" t="s">
        <v>6</v>
      </c>
      <c r="E98" s="12" t="s">
        <v>8</v>
      </c>
      <c r="F98" s="26">
        <f t="shared" ca="1" si="0"/>
        <v>46242</v>
      </c>
      <c r="G98" s="64"/>
    </row>
    <row r="99" spans="1:7" x14ac:dyDescent="0.25">
      <c r="A99" s="60">
        <v>82</v>
      </c>
      <c r="B99" s="61" t="s">
        <v>155</v>
      </c>
      <c r="C99" s="14" t="s">
        <v>6</v>
      </c>
      <c r="D99" s="14" t="s">
        <v>6</v>
      </c>
      <c r="E99" s="12" t="s">
        <v>8</v>
      </c>
      <c r="F99" s="26">
        <f t="shared" ca="1" si="0"/>
        <v>46242</v>
      </c>
      <c r="G99" s="64"/>
    </row>
    <row r="100" spans="1:7" x14ac:dyDescent="0.25">
      <c r="A100" s="60">
        <v>83</v>
      </c>
      <c r="B100" s="61" t="s">
        <v>156</v>
      </c>
      <c r="C100" s="14" t="s">
        <v>6</v>
      </c>
      <c r="D100" s="14" t="s">
        <v>6</v>
      </c>
      <c r="E100" s="12" t="s">
        <v>8</v>
      </c>
      <c r="F100" s="26">
        <f t="shared" ca="1" si="0"/>
        <v>46242</v>
      </c>
      <c r="G100" s="64"/>
    </row>
    <row r="101" spans="1:7" x14ac:dyDescent="0.25">
      <c r="A101" s="60">
        <v>84</v>
      </c>
      <c r="B101" s="61" t="s">
        <v>157</v>
      </c>
      <c r="C101" s="14" t="s">
        <v>6</v>
      </c>
      <c r="D101" s="14" t="s">
        <v>6</v>
      </c>
      <c r="E101" s="12" t="s">
        <v>8</v>
      </c>
      <c r="F101" s="26">
        <f t="shared" ca="1" si="0"/>
        <v>46242</v>
      </c>
      <c r="G101" s="64"/>
    </row>
    <row r="102" spans="1:7" x14ac:dyDescent="0.25">
      <c r="A102" s="60">
        <v>85</v>
      </c>
      <c r="B102" s="61" t="s">
        <v>158</v>
      </c>
      <c r="C102" s="14" t="s">
        <v>6</v>
      </c>
      <c r="D102" s="14" t="s">
        <v>6</v>
      </c>
      <c r="E102" s="12" t="s">
        <v>8</v>
      </c>
      <c r="F102" s="26">
        <f t="shared" ca="1" si="0"/>
        <v>46242</v>
      </c>
      <c r="G102" s="64"/>
    </row>
    <row r="103" spans="1:7" x14ac:dyDescent="0.25">
      <c r="A103" s="60">
        <v>86</v>
      </c>
      <c r="B103" s="61" t="s">
        <v>159</v>
      </c>
      <c r="C103" s="14" t="s">
        <v>6</v>
      </c>
      <c r="D103" s="14" t="s">
        <v>6</v>
      </c>
      <c r="E103" s="12" t="s">
        <v>8</v>
      </c>
      <c r="F103" s="26">
        <f t="shared" ca="1" si="0"/>
        <v>46242</v>
      </c>
      <c r="G103" s="64"/>
    </row>
    <row r="104" spans="1:7" x14ac:dyDescent="0.25">
      <c r="A104" s="60">
        <v>87</v>
      </c>
      <c r="B104" s="61" t="s">
        <v>160</v>
      </c>
      <c r="C104" s="14" t="s">
        <v>6</v>
      </c>
      <c r="D104" s="14" t="s">
        <v>6</v>
      </c>
      <c r="E104" s="12" t="s">
        <v>8</v>
      </c>
      <c r="F104" s="26">
        <f t="shared" ca="1" si="0"/>
        <v>46242</v>
      </c>
      <c r="G104" s="64"/>
    </row>
    <row r="105" spans="1:7" x14ac:dyDescent="0.25">
      <c r="A105" s="60">
        <v>88</v>
      </c>
      <c r="B105" s="61" t="s">
        <v>161</v>
      </c>
      <c r="C105" s="14" t="s">
        <v>6</v>
      </c>
      <c r="D105" s="14" t="s">
        <v>6</v>
      </c>
      <c r="E105" s="12" t="s">
        <v>8</v>
      </c>
      <c r="F105" s="26">
        <f t="shared" ca="1" si="0"/>
        <v>46242</v>
      </c>
      <c r="G105" s="64"/>
    </row>
    <row r="106" spans="1:7" x14ac:dyDescent="0.25">
      <c r="A106" s="60">
        <v>89</v>
      </c>
      <c r="B106" s="61" t="s">
        <v>162</v>
      </c>
      <c r="C106" s="14" t="s">
        <v>6</v>
      </c>
      <c r="D106" s="14" t="s">
        <v>5</v>
      </c>
      <c r="E106" s="12" t="s">
        <v>8</v>
      </c>
      <c r="F106" s="26" t="str">
        <f t="shared" ca="1" si="0"/>
        <v/>
      </c>
      <c r="G106" s="64"/>
    </row>
    <row r="107" spans="1:7" x14ac:dyDescent="0.25">
      <c r="A107" s="60">
        <v>90</v>
      </c>
      <c r="B107" s="61" t="s">
        <v>163</v>
      </c>
      <c r="C107" s="14" t="s">
        <v>6</v>
      </c>
      <c r="D107" s="14" t="s">
        <v>6</v>
      </c>
      <c r="E107" s="12" t="s">
        <v>8</v>
      </c>
      <c r="F107" s="26">
        <f t="shared" ca="1" si="0"/>
        <v>46242</v>
      </c>
      <c r="G107" s="64"/>
    </row>
    <row r="108" spans="1:7" x14ac:dyDescent="0.25">
      <c r="A108" s="60">
        <v>91</v>
      </c>
      <c r="B108" s="61" t="s">
        <v>164</v>
      </c>
      <c r="C108" s="14" t="s">
        <v>6</v>
      </c>
      <c r="D108" s="14" t="s">
        <v>6</v>
      </c>
      <c r="E108" s="12" t="s">
        <v>8</v>
      </c>
      <c r="F108" s="26">
        <f t="shared" ca="1" si="0"/>
        <v>46242</v>
      </c>
      <c r="G108" s="64"/>
    </row>
    <row r="109" spans="1:7" x14ac:dyDescent="0.25">
      <c r="A109" s="60">
        <v>92</v>
      </c>
      <c r="B109" s="61" t="s">
        <v>165</v>
      </c>
      <c r="C109" s="14" t="s">
        <v>6</v>
      </c>
      <c r="D109" s="14" t="s">
        <v>6</v>
      </c>
      <c r="E109" s="12" t="s">
        <v>8</v>
      </c>
      <c r="F109" s="26">
        <f t="shared" ca="1" si="0"/>
        <v>46242</v>
      </c>
      <c r="G109" s="64"/>
    </row>
    <row r="110" spans="1:7" x14ac:dyDescent="0.25">
      <c r="A110" s="60">
        <v>93</v>
      </c>
      <c r="B110" s="61" t="s">
        <v>166</v>
      </c>
      <c r="C110" s="14" t="s">
        <v>6</v>
      </c>
      <c r="D110" s="14" t="s">
        <v>6</v>
      </c>
      <c r="E110" s="12" t="s">
        <v>8</v>
      </c>
      <c r="F110" s="26">
        <f t="shared" ca="1" si="0"/>
        <v>46242</v>
      </c>
      <c r="G110" s="64"/>
    </row>
    <row r="111" spans="1:7" x14ac:dyDescent="0.25">
      <c r="A111" s="60">
        <v>94</v>
      </c>
      <c r="B111" s="61" t="s">
        <v>168</v>
      </c>
      <c r="C111" s="14" t="s">
        <v>5</v>
      </c>
      <c r="D111" s="14" t="s">
        <v>5</v>
      </c>
      <c r="E111" s="12" t="s">
        <v>8</v>
      </c>
      <c r="F111" s="26" t="str">
        <f t="shared" ca="1" si="0"/>
        <v/>
      </c>
      <c r="G111" s="64"/>
    </row>
    <row r="112" spans="1:7" x14ac:dyDescent="0.25">
      <c r="A112" s="60">
        <v>95</v>
      </c>
      <c r="B112" s="61" t="s">
        <v>138</v>
      </c>
      <c r="C112" s="14" t="s">
        <v>5</v>
      </c>
      <c r="D112" s="14" t="s">
        <v>6</v>
      </c>
      <c r="E112" s="12" t="s">
        <v>8</v>
      </c>
      <c r="F112" s="26" t="str">
        <f t="shared" ca="1" si="0"/>
        <v/>
      </c>
      <c r="G112" s="64"/>
    </row>
    <row r="113" spans="1:7" x14ac:dyDescent="0.25">
      <c r="A113" s="60">
        <v>96</v>
      </c>
      <c r="B113" s="61" t="s">
        <v>139</v>
      </c>
      <c r="C113" s="14" t="s">
        <v>5</v>
      </c>
      <c r="D113" s="14" t="s">
        <v>6</v>
      </c>
      <c r="E113" s="12" t="s">
        <v>8</v>
      </c>
      <c r="F113" s="26" t="str">
        <f t="shared" ca="1" si="0"/>
        <v/>
      </c>
      <c r="G113" s="64"/>
    </row>
    <row r="114" spans="1:7" x14ac:dyDescent="0.25">
      <c r="A114" s="60">
        <v>97</v>
      </c>
      <c r="B114" s="61" t="s">
        <v>87</v>
      </c>
      <c r="C114" s="14" t="s">
        <v>6</v>
      </c>
      <c r="D114" s="14" t="s">
        <v>6</v>
      </c>
      <c r="E114" s="12" t="s">
        <v>21</v>
      </c>
      <c r="F114" s="26">
        <f t="shared" ca="1" si="0"/>
        <v>46242</v>
      </c>
      <c r="G114" s="64"/>
    </row>
    <row r="115" spans="1:7" x14ac:dyDescent="0.25">
      <c r="A115" s="60">
        <v>97</v>
      </c>
      <c r="B115" s="61" t="s">
        <v>171</v>
      </c>
      <c r="C115" s="14" t="s">
        <v>6</v>
      </c>
      <c r="D115" s="14" t="s">
        <v>5</v>
      </c>
      <c r="E115" s="12" t="s">
        <v>30</v>
      </c>
      <c r="F115" s="26" t="str">
        <f t="shared" ref="F115:F116" ca="1" si="2">IF(AND(C115="NO",D115="NO"),IF(F115="",TODAY(),F115),"")</f>
        <v/>
      </c>
      <c r="G115" s="64"/>
    </row>
    <row r="116" spans="1:7" x14ac:dyDescent="0.25">
      <c r="A116" s="60">
        <v>97</v>
      </c>
      <c r="B116" s="61" t="s">
        <v>172</v>
      </c>
      <c r="C116" s="14" t="s">
        <v>6</v>
      </c>
      <c r="D116" s="14" t="s">
        <v>5</v>
      </c>
      <c r="E116" s="12" t="s">
        <v>30</v>
      </c>
      <c r="F116" s="26" t="str">
        <f t="shared" ca="1" si="2"/>
        <v/>
      </c>
      <c r="G116" s="64"/>
    </row>
    <row r="117" spans="1:7" x14ac:dyDescent="0.25">
      <c r="A117" s="60">
        <v>97</v>
      </c>
      <c r="B117" s="61" t="s">
        <v>173</v>
      </c>
      <c r="C117" s="14" t="s">
        <v>6</v>
      </c>
      <c r="D117" s="14" t="s">
        <v>5</v>
      </c>
      <c r="E117" s="12" t="s">
        <v>30</v>
      </c>
      <c r="F117" s="26" t="str">
        <f t="shared" ref="F117" ca="1" si="3">IF(AND(C117="NO",D117="NO"),IF(F117="",TODAY(),F117),"")</f>
        <v/>
      </c>
      <c r="G117" s="64"/>
    </row>
    <row r="118" spans="1:7" x14ac:dyDescent="0.25">
      <c r="A118" s="60">
        <v>98</v>
      </c>
      <c r="B118" s="27" t="s">
        <v>76</v>
      </c>
      <c r="C118" s="14" t="s">
        <v>6</v>
      </c>
      <c r="D118" s="14" t="s">
        <v>6</v>
      </c>
      <c r="E118" s="12" t="s">
        <v>21</v>
      </c>
      <c r="F118" s="26">
        <f t="shared" ca="1" si="0"/>
        <v>46237</v>
      </c>
      <c r="G118" s="54">
        <v>584126558931</v>
      </c>
    </row>
    <row r="119" spans="1:7" x14ac:dyDescent="0.25">
      <c r="A119" s="60">
        <v>99</v>
      </c>
      <c r="B119" s="27" t="s">
        <v>97</v>
      </c>
      <c r="C119" s="14" t="s">
        <v>6</v>
      </c>
      <c r="D119" s="14" t="s">
        <v>6</v>
      </c>
      <c r="E119" s="12" t="s">
        <v>21</v>
      </c>
      <c r="F119" s="26">
        <f t="shared" ca="1" si="0"/>
        <v>46242</v>
      </c>
      <c r="G119" s="54">
        <v>584126558731</v>
      </c>
    </row>
    <row r="120" spans="1:7" ht="15" customHeight="1" x14ac:dyDescent="0.25">
      <c r="A120" s="60">
        <v>100</v>
      </c>
      <c r="B120" s="27" t="s">
        <v>98</v>
      </c>
      <c r="C120" s="14" t="s">
        <v>6</v>
      </c>
      <c r="D120" s="14" t="s">
        <v>6</v>
      </c>
      <c r="E120" s="12" t="s">
        <v>21</v>
      </c>
      <c r="F120" s="26">
        <f t="shared" ref="F120" ca="1" si="4">IF(AND(C120="NO",D120="NO"),IF(F120="",TODAY(),F120),"")</f>
        <v>46242</v>
      </c>
      <c r="G120" s="54">
        <v>584126558731</v>
      </c>
    </row>
    <row r="121" spans="1:7" ht="15" customHeight="1" x14ac:dyDescent="0.25">
      <c r="A121" s="60">
        <v>100</v>
      </c>
      <c r="B121" s="27" t="s">
        <v>174</v>
      </c>
      <c r="C121" s="14" t="s">
        <v>63</v>
      </c>
      <c r="D121" s="14" t="s">
        <v>5</v>
      </c>
      <c r="E121" s="12" t="s">
        <v>21</v>
      </c>
      <c r="F121" s="26" t="str">
        <f t="shared" ca="1" si="0"/>
        <v/>
      </c>
      <c r="G121" s="54">
        <v>584246553570</v>
      </c>
    </row>
    <row r="122" spans="1:7" ht="15" customHeight="1" x14ac:dyDescent="0.25">
      <c r="G122" s="57"/>
    </row>
    <row r="123" spans="1:7" ht="45" x14ac:dyDescent="0.25">
      <c r="A123" s="81" t="s">
        <v>15</v>
      </c>
      <c r="B123" s="82"/>
      <c r="C123" s="8">
        <f>COUNTIF(C23:C121, "SI")</f>
        <v>53</v>
      </c>
      <c r="D123" s="6" t="s">
        <v>12</v>
      </c>
      <c r="E123" s="21">
        <f>C123/A121*100</f>
        <v>53</v>
      </c>
      <c r="F123" s="9" t="s">
        <v>68</v>
      </c>
      <c r="G123" s="57"/>
    </row>
    <row r="124" spans="1:7" ht="45" x14ac:dyDescent="0.25">
      <c r="A124" s="81" t="s">
        <v>16</v>
      </c>
      <c r="B124" s="82"/>
      <c r="C124" s="8">
        <f>COUNTIF(C23:C121, "NO")</f>
        <v>45</v>
      </c>
      <c r="D124" s="6" t="s">
        <v>12</v>
      </c>
      <c r="E124" s="21">
        <f>C124/A121*100</f>
        <v>45</v>
      </c>
      <c r="F124" s="9" t="s">
        <v>69</v>
      </c>
      <c r="G124" s="57"/>
    </row>
    <row r="125" spans="1:7" ht="18" x14ac:dyDescent="0.25">
      <c r="A125" s="16"/>
      <c r="B125" s="16"/>
      <c r="C125" s="17"/>
      <c r="D125" s="18"/>
      <c r="E125" s="19"/>
      <c r="F125" s="20"/>
      <c r="G125" s="57"/>
    </row>
    <row r="126" spans="1:7" ht="45" x14ac:dyDescent="0.25">
      <c r="A126" s="81" t="s">
        <v>17</v>
      </c>
      <c r="B126" s="82"/>
      <c r="C126" s="8">
        <f>COUNTIF(D23:D121, "SI")</f>
        <v>15</v>
      </c>
      <c r="D126" s="6" t="s">
        <v>12</v>
      </c>
      <c r="E126" s="21">
        <f>C126/A121*100</f>
        <v>15</v>
      </c>
      <c r="F126" s="9" t="s">
        <v>19</v>
      </c>
      <c r="G126" s="57"/>
    </row>
    <row r="127" spans="1:7" ht="45" x14ac:dyDescent="0.25">
      <c r="A127" s="81" t="s">
        <v>18</v>
      </c>
      <c r="B127" s="82"/>
      <c r="C127" s="8">
        <f>COUNTIF(D23:D121, "NO")</f>
        <v>84</v>
      </c>
      <c r="D127" s="6" t="s">
        <v>12</v>
      </c>
      <c r="E127" s="21">
        <f>C127/A121*100</f>
        <v>84</v>
      </c>
      <c r="F127" s="9" t="s">
        <v>20</v>
      </c>
      <c r="G127" s="57"/>
    </row>
    <row r="128" spans="1:7" ht="18" x14ac:dyDescent="0.25">
      <c r="A128" s="16"/>
      <c r="B128" s="16"/>
      <c r="C128" s="17"/>
      <c r="D128" s="18"/>
      <c r="E128" s="19"/>
      <c r="F128" s="37"/>
      <c r="G128" s="57"/>
    </row>
    <row r="129" spans="1:7" x14ac:dyDescent="0.25">
      <c r="A129" s="70" t="s">
        <v>53</v>
      </c>
      <c r="B129" s="71"/>
      <c r="C129" s="76">
        <f>COUNTIFS(C23:C121,"SI",D23:D121,"SI")</f>
        <v>9</v>
      </c>
      <c r="D129" s="79" t="s">
        <v>12</v>
      </c>
      <c r="E129" s="77">
        <f>C129/A121*100</f>
        <v>9</v>
      </c>
      <c r="F129" s="66" t="s">
        <v>55</v>
      </c>
      <c r="G129" s="57"/>
    </row>
    <row r="130" spans="1:7" x14ac:dyDescent="0.25">
      <c r="A130" s="72"/>
      <c r="B130" s="73"/>
      <c r="C130" s="76"/>
      <c r="D130" s="80"/>
      <c r="E130" s="78"/>
      <c r="F130" s="67"/>
      <c r="G130" s="57"/>
    </row>
    <row r="131" spans="1:7" ht="18" customHeight="1" x14ac:dyDescent="0.25">
      <c r="A131" s="70" t="s">
        <v>54</v>
      </c>
      <c r="B131" s="71"/>
      <c r="C131" s="76">
        <f>COUNTIFS(C23:C121,"NO",D23:D121,"NO")</f>
        <v>40</v>
      </c>
      <c r="D131" s="79" t="s">
        <v>12</v>
      </c>
      <c r="E131" s="77">
        <f>C131/A121*100</f>
        <v>40</v>
      </c>
      <c r="F131" s="66" t="s">
        <v>56</v>
      </c>
      <c r="G131" s="57"/>
    </row>
    <row r="132" spans="1:7" ht="18" customHeight="1" x14ac:dyDescent="0.25">
      <c r="A132" s="72"/>
      <c r="B132" s="73"/>
      <c r="C132" s="76"/>
      <c r="D132" s="80"/>
      <c r="E132" s="78"/>
      <c r="F132" s="67"/>
      <c r="G132" s="57"/>
    </row>
    <row r="133" spans="1:7" ht="18" x14ac:dyDescent="0.25">
      <c r="A133" s="16"/>
      <c r="B133" s="16"/>
      <c r="C133" s="17"/>
      <c r="D133" s="18"/>
      <c r="E133" s="19"/>
      <c r="F133" s="37"/>
      <c r="G133" s="43"/>
    </row>
    <row r="134" spans="1:7" x14ac:dyDescent="0.25">
      <c r="G134" s="43"/>
    </row>
    <row r="135" spans="1:7" x14ac:dyDescent="0.25">
      <c r="G135" s="57"/>
    </row>
    <row r="136" spans="1:7" x14ac:dyDescent="0.25">
      <c r="G136" s="57"/>
    </row>
    <row r="137" spans="1:7" x14ac:dyDescent="0.25">
      <c r="G137" s="43"/>
    </row>
    <row r="138" spans="1:7" x14ac:dyDescent="0.25">
      <c r="G138" s="57"/>
    </row>
    <row r="139" spans="1:7" x14ac:dyDescent="0.25">
      <c r="G139" s="57"/>
    </row>
    <row r="140" spans="1:7" x14ac:dyDescent="0.25">
      <c r="G140" s="57"/>
    </row>
    <row r="141" spans="1:7" x14ac:dyDescent="0.25">
      <c r="G141" s="57"/>
    </row>
    <row r="142" spans="1:7" x14ac:dyDescent="0.25">
      <c r="G142" s="57"/>
    </row>
    <row r="143" spans="1:7" x14ac:dyDescent="0.25">
      <c r="G143" s="57"/>
    </row>
    <row r="144" spans="1:7" x14ac:dyDescent="0.25">
      <c r="G144" s="57"/>
    </row>
    <row r="145" spans="7:9" x14ac:dyDescent="0.25">
      <c r="G145" s="57"/>
      <c r="I145" s="46"/>
    </row>
    <row r="146" spans="7:9" x14ac:dyDescent="0.25">
      <c r="G146" s="57"/>
      <c r="I146" s="47"/>
    </row>
    <row r="147" spans="7:9" x14ac:dyDescent="0.25">
      <c r="G147" s="57"/>
    </row>
    <row r="148" spans="7:9" x14ac:dyDescent="0.25">
      <c r="G148" s="57"/>
    </row>
    <row r="149" spans="7:9" x14ac:dyDescent="0.25">
      <c r="G149" s="57"/>
    </row>
    <row r="150" spans="7:9" x14ac:dyDescent="0.25">
      <c r="G150" s="43"/>
    </row>
    <row r="151" spans="7:9" x14ac:dyDescent="0.25">
      <c r="G151" s="57"/>
    </row>
    <row r="152" spans="7:9" x14ac:dyDescent="0.25">
      <c r="G152" s="57"/>
    </row>
    <row r="153" spans="7:9" x14ac:dyDescent="0.25">
      <c r="G153" s="57"/>
    </row>
    <row r="154" spans="7:9" x14ac:dyDescent="0.25">
      <c r="G154" s="57"/>
    </row>
    <row r="155" spans="7:9" x14ac:dyDescent="0.25">
      <c r="G155" s="57"/>
    </row>
    <row r="156" spans="7:9" x14ac:dyDescent="0.25">
      <c r="G156" s="52"/>
    </row>
    <row r="157" spans="7:9" x14ac:dyDescent="0.25">
      <c r="G157" s="52"/>
    </row>
    <row r="158" spans="7:9" x14ac:dyDescent="0.25">
      <c r="G158" s="52"/>
    </row>
    <row r="159" spans="7:9" x14ac:dyDescent="0.25">
      <c r="G159" s="52"/>
    </row>
    <row r="160" spans="7:9" x14ac:dyDescent="0.25">
      <c r="G160" s="52"/>
    </row>
    <row r="161" spans="7:7" x14ac:dyDescent="0.25">
      <c r="G161" s="52"/>
    </row>
    <row r="162" spans="7:7" x14ac:dyDescent="0.25">
      <c r="G162" s="52"/>
    </row>
    <row r="163" spans="7:7" ht="15" customHeight="1" x14ac:dyDescent="0.25">
      <c r="G163" s="52"/>
    </row>
    <row r="164" spans="7:7" ht="15" customHeight="1" x14ac:dyDescent="0.25">
      <c r="G164" s="52"/>
    </row>
    <row r="165" spans="7:7" ht="15" customHeight="1" x14ac:dyDescent="0.25">
      <c r="G165" s="52"/>
    </row>
    <row r="166" spans="7:7" ht="15" customHeight="1" x14ac:dyDescent="0.25">
      <c r="G166" s="52"/>
    </row>
    <row r="167" spans="7:7" x14ac:dyDescent="0.25">
      <c r="G167" s="52"/>
    </row>
    <row r="169" spans="7:7" ht="14.25" customHeight="1" x14ac:dyDescent="0.25"/>
    <row r="170" spans="7:7" ht="15" customHeight="1" x14ac:dyDescent="0.25"/>
    <row r="171" spans="7:7" ht="15" customHeight="1" x14ac:dyDescent="0.25"/>
    <row r="173" spans="7:7" ht="15" customHeight="1" x14ac:dyDescent="0.25"/>
    <row r="174" spans="7:7" ht="15" customHeight="1" x14ac:dyDescent="0.25"/>
    <row r="175" spans="7:7" ht="15" customHeight="1" x14ac:dyDescent="0.25"/>
    <row r="177" ht="15" customHeight="1" x14ac:dyDescent="0.25"/>
    <row r="178" ht="15" customHeight="1" x14ac:dyDescent="0.25"/>
    <row r="179" ht="15" customHeight="1" x14ac:dyDescent="0.25"/>
    <row r="189" ht="15" customHeight="1" x14ac:dyDescent="0.25"/>
    <row r="192" ht="15" customHeight="1" x14ac:dyDescent="0.25"/>
    <row r="195" spans="12:17" ht="15" customHeight="1" x14ac:dyDescent="0.25"/>
    <row r="196" spans="12:17" ht="15" customHeight="1" x14ac:dyDescent="0.25"/>
    <row r="203" spans="12:17" ht="15" customHeight="1" x14ac:dyDescent="0.25"/>
    <row r="204" spans="12:17" ht="15" customHeight="1" x14ac:dyDescent="0.25">
      <c r="L204" s="29"/>
      <c r="M204" s="36"/>
      <c r="N204" s="29"/>
      <c r="O204" s="29"/>
      <c r="P204" s="35"/>
      <c r="Q204" s="32"/>
    </row>
    <row r="205" spans="12:17" ht="15.75" customHeight="1" x14ac:dyDescent="0.25"/>
    <row r="206" spans="12:17" ht="15.75" customHeight="1" x14ac:dyDescent="0.25"/>
    <row r="237" ht="15.75" customHeight="1" x14ac:dyDescent="0.25"/>
    <row r="251" spans="28:35" ht="15" customHeight="1" x14ac:dyDescent="0.25"/>
    <row r="252" spans="28:35" ht="15" customHeight="1" x14ac:dyDescent="0.25"/>
    <row r="254" spans="28:35" x14ac:dyDescent="0.25">
      <c r="AB254" s="29"/>
      <c r="AC254" s="36"/>
      <c r="AD254" s="29"/>
      <c r="AE254" s="29"/>
      <c r="AF254" s="35"/>
      <c r="AG254" s="32"/>
      <c r="AI254" s="33"/>
    </row>
    <row r="255" spans="28:35" ht="13.5" customHeight="1" x14ac:dyDescent="0.25"/>
    <row r="264" ht="14.25" customHeight="1" x14ac:dyDescent="0.25"/>
    <row r="270" ht="13.5" customHeight="1" x14ac:dyDescent="0.25"/>
    <row r="291" ht="15" customHeight="1" x14ac:dyDescent="0.25"/>
    <row r="309" ht="15" customHeight="1" x14ac:dyDescent="0.25"/>
    <row r="318" ht="15" customHeight="1" x14ac:dyDescent="0.25"/>
    <row r="320" ht="15" customHeight="1" x14ac:dyDescent="0.25"/>
    <row r="326" ht="15" customHeight="1" x14ac:dyDescent="0.25"/>
    <row r="327" ht="15" customHeight="1" x14ac:dyDescent="0.25"/>
    <row r="328" ht="14.25" customHeight="1" x14ac:dyDescent="0.25"/>
    <row r="350" ht="15" customHeight="1" x14ac:dyDescent="0.25"/>
    <row r="384" ht="15" customHeight="1" x14ac:dyDescent="0.25"/>
    <row r="385" spans="1:10" ht="15" customHeight="1" x14ac:dyDescent="0.25"/>
    <row r="386" spans="1:10" ht="15" customHeight="1" x14ac:dyDescent="0.25"/>
    <row r="387" spans="1:10" ht="15" customHeight="1" x14ac:dyDescent="0.25"/>
    <row r="389" spans="1:10" ht="15.75" customHeight="1" x14ac:dyDescent="0.25"/>
    <row r="399" spans="1:10" s="33" customFormat="1" ht="17.25" customHeight="1" x14ac:dyDescent="0.25">
      <c r="A399"/>
      <c r="B399"/>
      <c r="C399"/>
      <c r="D399"/>
      <c r="E399"/>
      <c r="F399"/>
      <c r="G399"/>
      <c r="H399"/>
      <c r="I399"/>
      <c r="J399"/>
    </row>
    <row r="404" ht="13.5" customHeight="1" x14ac:dyDescent="0.25"/>
    <row r="406" ht="15" customHeight="1" x14ac:dyDescent="0.25"/>
    <row r="409" ht="15" customHeight="1" x14ac:dyDescent="0.25"/>
    <row r="411" ht="15" customHeight="1" x14ac:dyDescent="0.25"/>
    <row r="428" ht="15" customHeight="1" x14ac:dyDescent="0.25"/>
    <row r="450" ht="15.75" customHeight="1" x14ac:dyDescent="0.25"/>
    <row r="454" ht="13.5" customHeight="1" x14ac:dyDescent="0.25"/>
    <row r="455" ht="13.5" customHeight="1" x14ac:dyDescent="0.25"/>
    <row r="458" ht="13.5" customHeight="1" x14ac:dyDescent="0.25"/>
    <row r="459" ht="13.5" customHeight="1" x14ac:dyDescent="0.25"/>
    <row r="461" ht="13.5" customHeight="1" x14ac:dyDescent="0.25"/>
    <row r="462" ht="13.5" customHeight="1" x14ac:dyDescent="0.25"/>
    <row r="463" ht="13.5" customHeight="1" x14ac:dyDescent="0.25"/>
    <row r="464" ht="13.5" customHeight="1" x14ac:dyDescent="0.25"/>
    <row r="466" ht="13.5" customHeight="1" x14ac:dyDescent="0.25"/>
    <row r="467" ht="13.5" customHeight="1" x14ac:dyDescent="0.25"/>
    <row r="468" ht="13.5" customHeight="1" x14ac:dyDescent="0.25"/>
    <row r="469" ht="13.5" customHeight="1" x14ac:dyDescent="0.25"/>
    <row r="470" ht="17.25" customHeight="1" x14ac:dyDescent="0.25"/>
    <row r="473" ht="12.75" customHeight="1" x14ac:dyDescent="0.25"/>
    <row r="476" ht="13.5" customHeight="1" x14ac:dyDescent="0.25"/>
    <row r="477" ht="13.5" customHeight="1" x14ac:dyDescent="0.25"/>
    <row r="478" ht="13.5" customHeight="1" x14ac:dyDescent="0.25"/>
    <row r="479" ht="13.5" customHeight="1" x14ac:dyDescent="0.25"/>
    <row r="480" ht="13.5" customHeight="1" x14ac:dyDescent="0.25"/>
    <row r="481" ht="13.5" customHeight="1" x14ac:dyDescent="0.25"/>
    <row r="482" ht="13.5" customHeight="1" x14ac:dyDescent="0.25"/>
    <row r="484" ht="13.5" customHeight="1" x14ac:dyDescent="0.25"/>
    <row r="485" ht="13.5" customHeight="1" x14ac:dyDescent="0.25"/>
    <row r="486" ht="13.5" customHeight="1" x14ac:dyDescent="0.25"/>
    <row r="487" ht="13.5" customHeight="1" x14ac:dyDescent="0.25"/>
    <row r="488" ht="13.5" customHeight="1" x14ac:dyDescent="0.25"/>
    <row r="489" ht="13.5" customHeight="1" x14ac:dyDescent="0.25"/>
    <row r="490" ht="13.5" customHeight="1" x14ac:dyDescent="0.25"/>
    <row r="491" ht="13.5" customHeight="1" x14ac:dyDescent="0.25"/>
    <row r="492" ht="13.5" customHeight="1" x14ac:dyDescent="0.25"/>
    <row r="493" ht="13.5" customHeight="1" x14ac:dyDescent="0.25"/>
    <row r="494" ht="13.5" customHeight="1" x14ac:dyDescent="0.25"/>
    <row r="495" ht="13.5" customHeight="1" x14ac:dyDescent="0.25"/>
    <row r="496" ht="13.5" customHeight="1" x14ac:dyDescent="0.25"/>
    <row r="497" ht="13.5" customHeight="1" x14ac:dyDescent="0.25"/>
    <row r="498" ht="13.5" customHeight="1" x14ac:dyDescent="0.25"/>
    <row r="499" ht="13.5" customHeight="1" x14ac:dyDescent="0.25"/>
    <row r="500" ht="13.5" customHeight="1" x14ac:dyDescent="0.25"/>
    <row r="503" ht="15" customHeight="1" x14ac:dyDescent="0.25"/>
    <row r="512" ht="15" customHeight="1" x14ac:dyDescent="0.25"/>
    <row r="513" ht="15" customHeight="1" x14ac:dyDescent="0.25"/>
    <row r="514" ht="15" customHeight="1" x14ac:dyDescent="0.25"/>
    <row r="515" ht="15" customHeight="1" x14ac:dyDescent="0.25"/>
    <row r="517" ht="15" customHeight="1" x14ac:dyDescent="0.25"/>
    <row r="518" ht="15" customHeight="1" x14ac:dyDescent="0.25"/>
    <row r="519" ht="15.75" customHeight="1" x14ac:dyDescent="0.25"/>
    <row r="525" ht="15.75" customHeight="1" x14ac:dyDescent="0.25"/>
    <row r="527" ht="15" customHeight="1" x14ac:dyDescent="0.25"/>
    <row r="531" ht="15" customHeight="1" x14ac:dyDescent="0.25"/>
    <row r="547" ht="13.5" customHeight="1" x14ac:dyDescent="0.25"/>
    <row r="558" ht="15" customHeight="1" x14ac:dyDescent="0.25"/>
    <row r="578" ht="15" customHeight="1" x14ac:dyDescent="0.25"/>
    <row r="579" ht="15" customHeight="1" x14ac:dyDescent="0.25"/>
    <row r="583" ht="14.25" customHeight="1" x14ac:dyDescent="0.25"/>
    <row r="588" ht="13.5" customHeight="1" x14ac:dyDescent="0.25"/>
    <row r="589" ht="13.5" customHeight="1" x14ac:dyDescent="0.25"/>
    <row r="591" ht="15" customHeight="1" x14ac:dyDescent="0.25"/>
    <row r="594" ht="15" customHeight="1" x14ac:dyDescent="0.25"/>
    <row r="595" ht="15" customHeight="1" x14ac:dyDescent="0.25"/>
    <row r="596" ht="15" customHeight="1" x14ac:dyDescent="0.25"/>
    <row r="599" ht="15" customHeight="1" x14ac:dyDescent="0.25"/>
    <row r="600" ht="15" customHeight="1" x14ac:dyDescent="0.25"/>
    <row r="603" ht="15" customHeight="1" x14ac:dyDescent="0.25"/>
    <row r="604" ht="15" customHeight="1" x14ac:dyDescent="0.25"/>
    <row r="606" ht="15" customHeight="1" x14ac:dyDescent="0.25"/>
    <row r="607" ht="15" customHeight="1" x14ac:dyDescent="0.25"/>
    <row r="609" ht="14.25" customHeight="1" x14ac:dyDescent="0.25"/>
    <row r="610" ht="15" customHeight="1" x14ac:dyDescent="0.25"/>
    <row r="611" ht="15" customHeight="1" x14ac:dyDescent="0.25"/>
    <row r="612" ht="15" customHeight="1" x14ac:dyDescent="0.25"/>
    <row r="613" ht="15" customHeight="1" x14ac:dyDescent="0.25"/>
    <row r="616" ht="15" customHeight="1" x14ac:dyDescent="0.25"/>
    <row r="617" ht="15" customHeight="1" x14ac:dyDescent="0.25"/>
    <row r="618" ht="15" customHeight="1" x14ac:dyDescent="0.25"/>
    <row r="621" ht="15" customHeight="1" x14ac:dyDescent="0.25"/>
    <row r="622" ht="15" customHeight="1" x14ac:dyDescent="0.25"/>
    <row r="623" ht="15" customHeight="1" x14ac:dyDescent="0.25"/>
    <row r="624" ht="15" customHeight="1" x14ac:dyDescent="0.25"/>
    <row r="625" spans="1:10" ht="15" customHeight="1" x14ac:dyDescent="0.25"/>
    <row r="626" spans="1:10" ht="15" customHeight="1" x14ac:dyDescent="0.25"/>
    <row r="629" spans="1:10" s="41" customFormat="1" x14ac:dyDescent="0.25">
      <c r="A629"/>
      <c r="B629"/>
      <c r="C629"/>
      <c r="D629"/>
      <c r="E629"/>
      <c r="F629"/>
      <c r="G629"/>
      <c r="H629"/>
      <c r="I629"/>
      <c r="J629"/>
    </row>
    <row r="630" spans="1:10" s="41" customFormat="1" x14ac:dyDescent="0.25">
      <c r="A630"/>
      <c r="B630"/>
      <c r="C630"/>
      <c r="D630"/>
      <c r="E630"/>
      <c r="F630"/>
      <c r="G630"/>
      <c r="H630"/>
      <c r="I630"/>
      <c r="J630"/>
    </row>
    <row r="639" spans="1:10" ht="15" customHeight="1" x14ac:dyDescent="0.25"/>
    <row r="640" spans="1:10" ht="15" customHeight="1" x14ac:dyDescent="0.25"/>
    <row r="641" ht="15" customHeight="1" x14ac:dyDescent="0.25"/>
    <row r="642" ht="15" customHeight="1" x14ac:dyDescent="0.25"/>
    <row r="643" ht="15" customHeight="1" x14ac:dyDescent="0.25"/>
    <row r="644" ht="15" customHeight="1" x14ac:dyDescent="0.25"/>
    <row r="646" ht="15" customHeight="1" x14ac:dyDescent="0.25"/>
    <row r="661" ht="16.5" customHeight="1" x14ac:dyDescent="0.25"/>
    <row r="663" ht="15" customHeight="1" x14ac:dyDescent="0.25"/>
    <row r="664" ht="14.25" customHeight="1" x14ac:dyDescent="0.25"/>
    <row r="683" ht="36" customHeight="1" x14ac:dyDescent="0.25"/>
    <row r="686" ht="22.5" customHeight="1" x14ac:dyDescent="0.25"/>
    <row r="688" ht="15" customHeight="1" x14ac:dyDescent="0.25"/>
    <row r="689" ht="13.5" customHeight="1" x14ac:dyDescent="0.25"/>
    <row r="696" ht="13.5" customHeight="1" x14ac:dyDescent="0.25"/>
    <row r="707" ht="15" customHeight="1" x14ac:dyDescent="0.25"/>
    <row r="708" ht="28.5" customHeight="1" x14ac:dyDescent="0.25"/>
    <row r="740" ht="15" customHeight="1" x14ac:dyDescent="0.25"/>
    <row r="744" ht="15" customHeight="1" x14ac:dyDescent="0.25"/>
    <row r="745" ht="15" customHeight="1" x14ac:dyDescent="0.25"/>
    <row r="746" ht="15" customHeight="1" x14ac:dyDescent="0.25"/>
    <row r="747" ht="15" customHeight="1" x14ac:dyDescent="0.25"/>
  </sheetData>
  <mergeCells count="46">
    <mergeCell ref="A3:B4"/>
    <mergeCell ref="C3:G4"/>
    <mergeCell ref="C16:D16"/>
    <mergeCell ref="A123:B123"/>
    <mergeCell ref="D129:D130"/>
    <mergeCell ref="A21:E21"/>
    <mergeCell ref="A17:B17"/>
    <mergeCell ref="A1:G1"/>
    <mergeCell ref="A2:G2"/>
    <mergeCell ref="F129:F130"/>
    <mergeCell ref="A124:B124"/>
    <mergeCell ref="E129:E130"/>
    <mergeCell ref="A5:B5"/>
    <mergeCell ref="C5:D5"/>
    <mergeCell ref="A6:B6"/>
    <mergeCell ref="C6:D6"/>
    <mergeCell ref="A9:B9"/>
    <mergeCell ref="C9:D9"/>
    <mergeCell ref="A16:B16"/>
    <mergeCell ref="C17:D17"/>
    <mergeCell ref="A19:B19"/>
    <mergeCell ref="E11:E12"/>
    <mergeCell ref="F13:G14"/>
    <mergeCell ref="J5:K5"/>
    <mergeCell ref="A13:B14"/>
    <mergeCell ref="C13:C14"/>
    <mergeCell ref="D13:D14"/>
    <mergeCell ref="A11:B12"/>
    <mergeCell ref="C11:C12"/>
    <mergeCell ref="D11:D12"/>
    <mergeCell ref="C8:D8"/>
    <mergeCell ref="A8:B8"/>
    <mergeCell ref="F11:G12"/>
    <mergeCell ref="E13:E14"/>
    <mergeCell ref="J8:K8"/>
    <mergeCell ref="F131:F132"/>
    <mergeCell ref="I21:J22"/>
    <mergeCell ref="A129:B130"/>
    <mergeCell ref="C19:D19"/>
    <mergeCell ref="C131:C132"/>
    <mergeCell ref="E131:E132"/>
    <mergeCell ref="D131:D132"/>
    <mergeCell ref="C129:C130"/>
    <mergeCell ref="A131:B132"/>
    <mergeCell ref="A127:B127"/>
    <mergeCell ref="A126:B126"/>
  </mergeCells>
  <phoneticPr fontId="17" type="noConversion"/>
  <conditionalFormatting sqref="F17">
    <cfRule type="colorScale" priority="14211">
      <colorScale>
        <cfvo type="min"/>
        <cfvo type="percentile" val="50"/>
        <cfvo type="max"/>
        <color rgb="FFFF0000"/>
        <color rgb="FFFFC000"/>
        <color theme="6" tint="0.39997558519241921"/>
      </colorScale>
    </cfRule>
  </conditionalFormatting>
  <conditionalFormatting sqref="F16">
    <cfRule type="colorScale" priority="12036">
      <colorScale>
        <cfvo type="min"/>
        <cfvo type="percentile" val="50"/>
        <cfvo type="max"/>
        <color rgb="FFFF0000"/>
        <color rgb="FFFFC000"/>
        <color theme="6" tint="0.39997558519241921"/>
      </colorScale>
    </cfRule>
  </conditionalFormatting>
  <conditionalFormatting sqref="N204:O204 C23:D114 D118:D119 D121">
    <cfRule type="containsText" dxfId="67" priority="6756" operator="containsText" text="NO+$D$4:$D$10">
      <formula>NOT(ISERROR(SEARCH("NO+$D$4:$D$10",C23)))</formula>
    </cfRule>
  </conditionalFormatting>
  <conditionalFormatting sqref="N204:O204 C23:D114 D118:D119 D121">
    <cfRule type="containsText" dxfId="66" priority="6754" operator="containsText" text="SI">
      <formula>NOT(ISERROR(SEARCH("SI",C23)))</formula>
    </cfRule>
    <cfRule type="containsText" dxfId="65" priority="6755" operator="containsText" text="NO">
      <formula>NOT(ISERROR(SEARCH("NO",C23)))</formula>
    </cfRule>
  </conditionalFormatting>
  <conditionalFormatting sqref="N204:P204 C23:E114 D118:D119 D121">
    <cfRule type="containsText" dxfId="64" priority="6753" operator="containsText" text="NUEVO">
      <formula>NOT(ISERROR(SEARCH("NUEVO",C23)))</formula>
    </cfRule>
  </conditionalFormatting>
  <conditionalFormatting sqref="P204 E23:E114">
    <cfRule type="containsText" dxfId="63" priority="6752" operator="containsText" text="Sin Información">
      <formula>NOT(ISERROR(SEARCH("Sin Información",E23)))</formula>
    </cfRule>
  </conditionalFormatting>
  <conditionalFormatting sqref="AD254:AE254">
    <cfRule type="containsText" dxfId="62" priority="3730" operator="containsText" text="NO+$D$4:$D$10">
      <formula>NOT(ISERROR(SEARCH("NO+$D$4:$D$10",AD254)))</formula>
    </cfRule>
  </conditionalFormatting>
  <conditionalFormatting sqref="AD254:AE254">
    <cfRule type="containsText" dxfId="61" priority="3728" operator="containsText" text="SI">
      <formula>NOT(ISERROR(SEARCH("SI",AD254)))</formula>
    </cfRule>
    <cfRule type="containsText" dxfId="60" priority="3729" operator="containsText" text="NO">
      <formula>NOT(ISERROR(SEARCH("NO",AD254)))</formula>
    </cfRule>
  </conditionalFormatting>
  <conditionalFormatting sqref="AD254:AE254">
    <cfRule type="containsText" dxfId="59" priority="3727" operator="containsText" text="NUEVO">
      <formula>NOT(ISERROR(SEARCH("NUEVO",AD254)))</formula>
    </cfRule>
  </conditionalFormatting>
  <conditionalFormatting sqref="AF254">
    <cfRule type="containsText" dxfId="58" priority="3726" operator="containsText" text="NUEVO">
      <formula>NOT(ISERROR(SEARCH("NUEVO",AF254)))</formula>
    </cfRule>
  </conditionalFormatting>
  <conditionalFormatting sqref="AF254">
    <cfRule type="containsText" dxfId="57" priority="3725" operator="containsText" text="Sin Información">
      <formula>NOT(ISERROR(SEARCH("Sin Información",AF254)))</formula>
    </cfRule>
  </conditionalFormatting>
  <conditionalFormatting sqref="G155 G135:G136 G151:G153 G138:G149 G122:G132 E23:F114">
    <cfRule type="expression" dxfId="56" priority="2018">
      <formula>E23&lt;&gt;""</formula>
    </cfRule>
  </conditionalFormatting>
  <conditionalFormatting sqref="I32 I80:J81 J23 I78:J78 I135:J136 I138:J147 I125:J132 I84:J115 I24:J31 I33:J76 I117:J119 I121:J123">
    <cfRule type="expression" dxfId="55" priority="2013">
      <formula>OR(I23&lt;&gt;"", J23&lt;&gt;"")</formula>
    </cfRule>
  </conditionalFormatting>
  <conditionalFormatting sqref="J32">
    <cfRule type="expression" dxfId="54" priority="29240">
      <formula>OR(J32&lt;&gt;"", K83&lt;&gt;"")</formula>
    </cfRule>
  </conditionalFormatting>
  <conditionalFormatting sqref="G154">
    <cfRule type="expression" dxfId="53" priority="422">
      <formula>G154&lt;&gt;""</formula>
    </cfRule>
  </conditionalFormatting>
  <conditionalFormatting sqref="G121">
    <cfRule type="expression" dxfId="52" priority="61">
      <formula>G121&lt;&gt;""</formula>
    </cfRule>
  </conditionalFormatting>
  <conditionalFormatting sqref="F121">
    <cfRule type="expression" dxfId="51" priority="60">
      <formula>F121&lt;&gt;""</formula>
    </cfRule>
  </conditionalFormatting>
  <conditionalFormatting sqref="E121">
    <cfRule type="containsText" dxfId="50" priority="59" operator="containsText" text="NUEVO">
      <formula>NOT(ISERROR(SEARCH("NUEVO",E121)))</formula>
    </cfRule>
  </conditionalFormatting>
  <conditionalFormatting sqref="E121">
    <cfRule type="containsText" dxfId="49" priority="58" operator="containsText" text="Sin Información">
      <formula>NOT(ISERROR(SEARCH("Sin Información",E121)))</formula>
    </cfRule>
  </conditionalFormatting>
  <conditionalFormatting sqref="E121">
    <cfRule type="expression" dxfId="48" priority="57">
      <formula>E121&lt;&gt;""</formula>
    </cfRule>
  </conditionalFormatting>
  <conditionalFormatting sqref="G118">
    <cfRule type="expression" dxfId="47" priority="47">
      <formula>G118&lt;&gt;""</formula>
    </cfRule>
  </conditionalFormatting>
  <conditionalFormatting sqref="F118">
    <cfRule type="expression" dxfId="46" priority="46">
      <formula>F118&lt;&gt;""</formula>
    </cfRule>
  </conditionalFormatting>
  <conditionalFormatting sqref="C118:C119 C121">
    <cfRule type="containsText" dxfId="45" priority="45" operator="containsText" text="NO+$D$4:$D$10">
      <formula>NOT(ISERROR(SEARCH("NO+$D$4:$D$10",C118)))</formula>
    </cfRule>
  </conditionalFormatting>
  <conditionalFormatting sqref="C118:C119 C121">
    <cfRule type="containsText" dxfId="44" priority="43" operator="containsText" text="SI">
      <formula>NOT(ISERROR(SEARCH("SI",C118)))</formula>
    </cfRule>
    <cfRule type="containsText" dxfId="43" priority="44" operator="containsText" text="NO">
      <formula>NOT(ISERROR(SEARCH("NO",C118)))</formula>
    </cfRule>
  </conditionalFormatting>
  <conditionalFormatting sqref="C118:C119 C121">
    <cfRule type="containsText" dxfId="42" priority="42" operator="containsText" text="NUEVO">
      <formula>NOT(ISERROR(SEARCH("NUEVO",C118)))</formula>
    </cfRule>
  </conditionalFormatting>
  <conditionalFormatting sqref="E118">
    <cfRule type="containsText" dxfId="41" priority="41" operator="containsText" text="NUEVO">
      <formula>NOT(ISERROR(SEARCH("NUEVO",E118)))</formula>
    </cfRule>
  </conditionalFormatting>
  <conditionalFormatting sqref="E118">
    <cfRule type="containsText" dxfId="40" priority="40" operator="containsText" text="Sin Información">
      <formula>NOT(ISERROR(SEARCH("Sin Información",E118)))</formula>
    </cfRule>
  </conditionalFormatting>
  <conditionalFormatting sqref="E118">
    <cfRule type="expression" dxfId="39" priority="39">
      <formula>E118&lt;&gt;""</formula>
    </cfRule>
  </conditionalFormatting>
  <conditionalFormatting sqref="G119">
    <cfRule type="expression" dxfId="38" priority="38">
      <formula>G119&lt;&gt;""</formula>
    </cfRule>
  </conditionalFormatting>
  <conditionalFormatting sqref="F119">
    <cfRule type="expression" dxfId="37" priority="37">
      <formula>F119&lt;&gt;""</formula>
    </cfRule>
  </conditionalFormatting>
  <conditionalFormatting sqref="E119">
    <cfRule type="containsText" dxfId="36" priority="36" operator="containsText" text="NUEVO">
      <formula>NOT(ISERROR(SEARCH("NUEVO",E119)))</formula>
    </cfRule>
  </conditionalFormatting>
  <conditionalFormatting sqref="E119">
    <cfRule type="containsText" dxfId="35" priority="35" operator="containsText" text="Sin Información">
      <formula>NOT(ISERROR(SEARCH("Sin Información",E119)))</formula>
    </cfRule>
  </conditionalFormatting>
  <conditionalFormatting sqref="E119">
    <cfRule type="expression" dxfId="34" priority="34">
      <formula>E119&lt;&gt;""</formula>
    </cfRule>
  </conditionalFormatting>
  <conditionalFormatting sqref="I23">
    <cfRule type="expression" dxfId="33" priority="29444">
      <formula>OR(I23&lt;&gt;"", #REF!&lt;&gt;"")</formula>
    </cfRule>
  </conditionalFormatting>
  <conditionalFormatting sqref="C115:D115">
    <cfRule type="containsText" dxfId="32" priority="33" operator="containsText" text="NO+$D$4:$D$10">
      <formula>NOT(ISERROR(SEARCH("NO+$D$4:$D$10",C115)))</formula>
    </cfRule>
  </conditionalFormatting>
  <conditionalFormatting sqref="C115:D115">
    <cfRule type="containsText" dxfId="31" priority="31" operator="containsText" text="SI">
      <formula>NOT(ISERROR(SEARCH("SI",C115)))</formula>
    </cfRule>
    <cfRule type="containsText" dxfId="30" priority="32" operator="containsText" text="NO">
      <formula>NOT(ISERROR(SEARCH("NO",C115)))</formula>
    </cfRule>
  </conditionalFormatting>
  <conditionalFormatting sqref="C115:E115">
    <cfRule type="containsText" dxfId="29" priority="30" operator="containsText" text="NUEVO">
      <formula>NOT(ISERROR(SEARCH("NUEVO",C115)))</formula>
    </cfRule>
  </conditionalFormatting>
  <conditionalFormatting sqref="E115">
    <cfRule type="containsText" dxfId="28" priority="29" operator="containsText" text="Sin Información">
      <formula>NOT(ISERROR(SEARCH("Sin Información",E115)))</formula>
    </cfRule>
  </conditionalFormatting>
  <conditionalFormatting sqref="E115:F115">
    <cfRule type="expression" dxfId="27" priority="28">
      <formula>E115&lt;&gt;""</formula>
    </cfRule>
  </conditionalFormatting>
  <conditionalFormatting sqref="C117:D117">
    <cfRule type="containsText" dxfId="26" priority="27" operator="containsText" text="NO+$D$4:$D$10">
      <formula>NOT(ISERROR(SEARCH("NO+$D$4:$D$10",C117)))</formula>
    </cfRule>
  </conditionalFormatting>
  <conditionalFormatting sqref="C117:D117">
    <cfRule type="containsText" dxfId="25" priority="25" operator="containsText" text="SI">
      <formula>NOT(ISERROR(SEARCH("SI",C117)))</formula>
    </cfRule>
    <cfRule type="containsText" dxfId="24" priority="26" operator="containsText" text="NO">
      <formula>NOT(ISERROR(SEARCH("NO",C117)))</formula>
    </cfRule>
  </conditionalFormatting>
  <conditionalFormatting sqref="C117:E117">
    <cfRule type="containsText" dxfId="23" priority="24" operator="containsText" text="NUEVO">
      <formula>NOT(ISERROR(SEARCH("NUEVO",C117)))</formula>
    </cfRule>
  </conditionalFormatting>
  <conditionalFormatting sqref="E117">
    <cfRule type="containsText" dxfId="22" priority="23" operator="containsText" text="Sin Información">
      <formula>NOT(ISERROR(SEARCH("Sin Información",E117)))</formula>
    </cfRule>
  </conditionalFormatting>
  <conditionalFormatting sqref="E117:F117">
    <cfRule type="expression" dxfId="21" priority="22">
      <formula>E117&lt;&gt;""</formula>
    </cfRule>
  </conditionalFormatting>
  <conditionalFormatting sqref="I116:J116">
    <cfRule type="expression" dxfId="20" priority="21">
      <formula>OR(I116&lt;&gt;"", J116&lt;&gt;"")</formula>
    </cfRule>
  </conditionalFormatting>
  <conditionalFormatting sqref="C116:D116">
    <cfRule type="containsText" dxfId="19" priority="20" operator="containsText" text="NO+$D$4:$D$10">
      <formula>NOT(ISERROR(SEARCH("NO+$D$4:$D$10",C116)))</formula>
    </cfRule>
  </conditionalFormatting>
  <conditionalFormatting sqref="C116:D116">
    <cfRule type="containsText" dxfId="18" priority="18" operator="containsText" text="SI">
      <formula>NOT(ISERROR(SEARCH("SI",C116)))</formula>
    </cfRule>
    <cfRule type="containsText" dxfId="17" priority="19" operator="containsText" text="NO">
      <formula>NOT(ISERROR(SEARCH("NO",C116)))</formula>
    </cfRule>
  </conditionalFormatting>
  <conditionalFormatting sqref="C116:E116">
    <cfRule type="containsText" dxfId="16" priority="17" operator="containsText" text="NUEVO">
      <formula>NOT(ISERROR(SEARCH("NUEVO",C116)))</formula>
    </cfRule>
  </conditionalFormatting>
  <conditionalFormatting sqref="E116">
    <cfRule type="containsText" dxfId="15" priority="16" operator="containsText" text="Sin Información">
      <formula>NOT(ISERROR(SEARCH("Sin Información",E116)))</formula>
    </cfRule>
  </conditionalFormatting>
  <conditionalFormatting sqref="E116:F116">
    <cfRule type="expression" dxfId="14" priority="15">
      <formula>E116&lt;&gt;""</formula>
    </cfRule>
  </conditionalFormatting>
  <conditionalFormatting sqref="D120">
    <cfRule type="containsText" dxfId="13" priority="14" operator="containsText" text="NO+$D$4:$D$10">
      <formula>NOT(ISERROR(SEARCH("NO+$D$4:$D$10",D120)))</formula>
    </cfRule>
  </conditionalFormatting>
  <conditionalFormatting sqref="D120">
    <cfRule type="containsText" dxfId="12" priority="12" operator="containsText" text="SI">
      <formula>NOT(ISERROR(SEARCH("SI",D120)))</formula>
    </cfRule>
    <cfRule type="containsText" dxfId="11" priority="13" operator="containsText" text="NO">
      <formula>NOT(ISERROR(SEARCH("NO",D120)))</formula>
    </cfRule>
  </conditionalFormatting>
  <conditionalFormatting sqref="D120">
    <cfRule type="containsText" dxfId="10" priority="11" operator="containsText" text="NUEVO">
      <formula>NOT(ISERROR(SEARCH("NUEVO",D120)))</formula>
    </cfRule>
  </conditionalFormatting>
  <conditionalFormatting sqref="I120:J120">
    <cfRule type="expression" dxfId="9" priority="10">
      <formula>OR(I120&lt;&gt;"", J120&lt;&gt;"")</formula>
    </cfRule>
  </conditionalFormatting>
  <conditionalFormatting sqref="G120">
    <cfRule type="expression" dxfId="8" priority="9">
      <formula>G120&lt;&gt;""</formula>
    </cfRule>
  </conditionalFormatting>
  <conditionalFormatting sqref="F120">
    <cfRule type="expression" dxfId="7" priority="8">
      <formula>F120&lt;&gt;""</formula>
    </cfRule>
  </conditionalFormatting>
  <conditionalFormatting sqref="E120">
    <cfRule type="containsText" dxfId="6" priority="7" operator="containsText" text="NUEVO">
      <formula>NOT(ISERROR(SEARCH("NUEVO",E120)))</formula>
    </cfRule>
  </conditionalFormatting>
  <conditionalFormatting sqref="E120">
    <cfRule type="containsText" dxfId="5" priority="6" operator="containsText" text="Sin Información">
      <formula>NOT(ISERROR(SEARCH("Sin Información",E120)))</formula>
    </cfRule>
  </conditionalFormatting>
  <conditionalFormatting sqref="E120">
    <cfRule type="expression" dxfId="4" priority="5">
      <formula>E120&lt;&gt;""</formula>
    </cfRule>
  </conditionalFormatting>
  <conditionalFormatting sqref="C120">
    <cfRule type="containsText" dxfId="3" priority="4" operator="containsText" text="NO+$D$4:$D$10">
      <formula>NOT(ISERROR(SEARCH("NO+$D$4:$D$10",C120)))</formula>
    </cfRule>
  </conditionalFormatting>
  <conditionalFormatting sqref="C120">
    <cfRule type="containsText" dxfId="2" priority="2" operator="containsText" text="SI">
      <formula>NOT(ISERROR(SEARCH("SI",C120)))</formula>
    </cfRule>
    <cfRule type="containsText" dxfId="1" priority="3" operator="containsText" text="NO">
      <formula>NOT(ISERROR(SEARCH("NO",C120)))</formula>
    </cfRule>
  </conditionalFormatting>
  <conditionalFormatting sqref="C120">
    <cfRule type="containsText" dxfId="0" priority="1" operator="containsText" text="NUEVO">
      <formula>NOT(ISERROR(SEARCH("NUEVO",C120)))</formula>
    </cfRule>
  </conditionalFormatting>
  <hyperlinks>
    <hyperlink ref="G121" r:id="rId1" display="+584246553570" xr:uid="{6FA06271-6470-4587-9E0C-8B1DD62D8913}"/>
    <hyperlink ref="G118" r:id="rId2" display="+584126558931" xr:uid="{3D099BAB-44C7-4D0D-82CB-BCFB71826429}"/>
    <hyperlink ref="G76" r:id="rId3" display="+584122838159" xr:uid="{23F8A5DF-0D37-4B53-9725-27F73890B58C}"/>
    <hyperlink ref="G119" r:id="rId4" display="+584126558731" xr:uid="{ED4303E5-48BC-4821-A7A8-10DA6907F3C1}"/>
    <hyperlink ref="G120" r:id="rId5" display="+584126558731" xr:uid="{D8D61C09-AA93-4595-BF1F-3C2837125340}"/>
  </hyperlinks>
  <pageMargins left="0.7" right="0.7" top="0.75" bottom="0.75" header="0.3" footer="0.3"/>
  <pageSetup paperSize="9" orientation="portrait" r:id="rId6"/>
  <drawing r:id="rId7"/>
  <legacyDrawing r:id="rId8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0000000-0002-0000-0000-000000000000}">
          <x14:formula1>
            <xm:f>Hoja2!$A$2:$A$4</xm:f>
          </x14:formula1>
          <xm:sqref>N204:O204 AD254:AE254 C23:D121</xm:sqref>
        </x14:dataValidation>
        <x14:dataValidation type="list" allowBlank="1" showInputMessage="1" showErrorMessage="1" xr:uid="{42D67E3A-749B-4A7D-8731-FBAFC2BB2F4D}">
          <x14:formula1>
            <xm:f>Hoja2!$D$2:$D$11</xm:f>
          </x14:formula1>
          <xm:sqref>E23:E121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/>
  <dimension ref="A1:D11"/>
  <sheetViews>
    <sheetView workbookViewId="0">
      <selection activeCell="C16" sqref="C16"/>
    </sheetView>
  </sheetViews>
  <sheetFormatPr baseColWidth="10" defaultRowHeight="15" x14ac:dyDescent="0.25"/>
  <sheetData>
    <row r="1" spans="1:4" x14ac:dyDescent="0.25">
      <c r="A1" s="119" t="s">
        <v>4</v>
      </c>
      <c r="B1" s="119"/>
      <c r="D1" s="51" t="s">
        <v>73</v>
      </c>
    </row>
    <row r="2" spans="1:4" x14ac:dyDescent="0.25">
      <c r="A2" s="1" t="s">
        <v>5</v>
      </c>
      <c r="B2" s="1" t="s">
        <v>5</v>
      </c>
      <c r="D2" s="51" t="s">
        <v>8</v>
      </c>
    </row>
    <row r="3" spans="1:4" x14ac:dyDescent="0.25">
      <c r="A3" s="1" t="s">
        <v>6</v>
      </c>
      <c r="B3" s="1" t="s">
        <v>6</v>
      </c>
      <c r="D3" s="51" t="s">
        <v>52</v>
      </c>
    </row>
    <row r="4" spans="1:4" x14ac:dyDescent="0.25">
      <c r="A4" s="2" t="s">
        <v>63</v>
      </c>
      <c r="D4" s="51" t="s">
        <v>30</v>
      </c>
    </row>
    <row r="5" spans="1:4" x14ac:dyDescent="0.25">
      <c r="D5" s="51" t="s">
        <v>29</v>
      </c>
    </row>
    <row r="6" spans="1:4" x14ac:dyDescent="0.25">
      <c r="D6" s="51" t="s">
        <v>23</v>
      </c>
    </row>
    <row r="7" spans="1:4" x14ac:dyDescent="0.25">
      <c r="D7" s="51" t="s">
        <v>63</v>
      </c>
    </row>
    <row r="8" spans="1:4" x14ac:dyDescent="0.25">
      <c r="D8" s="51" t="s">
        <v>28</v>
      </c>
    </row>
    <row r="9" spans="1:4" x14ac:dyDescent="0.25">
      <c r="B9" s="15"/>
      <c r="D9" s="51" t="s">
        <v>21</v>
      </c>
    </row>
    <row r="10" spans="1:4" x14ac:dyDescent="0.25">
      <c r="D10" s="51" t="s">
        <v>61</v>
      </c>
    </row>
    <row r="11" spans="1:4" x14ac:dyDescent="0.25">
      <c r="D11" s="51" t="s">
        <v>59</v>
      </c>
    </row>
  </sheetData>
  <mergeCells count="1">
    <mergeCell ref="A1:B1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5"/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6"/>
  <dimension ref="A1:C18"/>
  <sheetViews>
    <sheetView workbookViewId="0">
      <selection activeCell="A17" sqref="A17:B17"/>
    </sheetView>
  </sheetViews>
  <sheetFormatPr baseColWidth="10" defaultRowHeight="15" x14ac:dyDescent="0.25"/>
  <sheetData>
    <row r="1" spans="1:3" ht="28.5" customHeight="1" x14ac:dyDescent="0.25">
      <c r="A1" s="121"/>
      <c r="B1" s="121"/>
      <c r="C1" s="121"/>
    </row>
    <row r="2" spans="1:3" ht="42.75" customHeight="1" x14ac:dyDescent="0.25">
      <c r="A2" s="121" t="s">
        <v>34</v>
      </c>
      <c r="B2" s="121"/>
      <c r="C2" s="121"/>
    </row>
    <row r="3" spans="1:3" x14ac:dyDescent="0.25">
      <c r="A3" s="30" t="s">
        <v>35</v>
      </c>
    </row>
    <row r="4" spans="1:3" x14ac:dyDescent="0.25">
      <c r="A4" s="30" t="s">
        <v>36</v>
      </c>
    </row>
    <row r="5" spans="1:3" x14ac:dyDescent="0.25">
      <c r="A5" s="30" t="s">
        <v>37</v>
      </c>
    </row>
    <row r="6" spans="1:3" x14ac:dyDescent="0.25">
      <c r="A6" t="s">
        <v>38</v>
      </c>
    </row>
    <row r="7" spans="1:3" x14ac:dyDescent="0.25">
      <c r="A7" t="s">
        <v>40</v>
      </c>
    </row>
    <row r="8" spans="1:3" x14ac:dyDescent="0.25">
      <c r="A8" t="s">
        <v>41</v>
      </c>
      <c r="C8" t="s">
        <v>39</v>
      </c>
    </row>
    <row r="9" spans="1:3" x14ac:dyDescent="0.25">
      <c r="A9" t="s">
        <v>42</v>
      </c>
      <c r="C9" t="s">
        <v>39</v>
      </c>
    </row>
    <row r="10" spans="1:3" x14ac:dyDescent="0.25">
      <c r="A10" t="s">
        <v>43</v>
      </c>
      <c r="C10" t="s">
        <v>39</v>
      </c>
    </row>
    <row r="11" spans="1:3" x14ac:dyDescent="0.25">
      <c r="A11" t="s">
        <v>44</v>
      </c>
      <c r="C11" t="s">
        <v>39</v>
      </c>
    </row>
    <row r="12" spans="1:3" x14ac:dyDescent="0.25">
      <c r="A12" t="s">
        <v>45</v>
      </c>
      <c r="C12" t="s">
        <v>39</v>
      </c>
    </row>
    <row r="13" spans="1:3" x14ac:dyDescent="0.25">
      <c r="A13" t="s">
        <v>46</v>
      </c>
      <c r="C13" t="s">
        <v>39</v>
      </c>
    </row>
    <row r="14" spans="1:3" x14ac:dyDescent="0.25">
      <c r="A14" t="s">
        <v>47</v>
      </c>
      <c r="C14" t="s">
        <v>39</v>
      </c>
    </row>
    <row r="15" spans="1:3" x14ac:dyDescent="0.25">
      <c r="A15" t="s">
        <v>48</v>
      </c>
      <c r="C15" t="s">
        <v>39</v>
      </c>
    </row>
    <row r="16" spans="1:3" x14ac:dyDescent="0.25">
      <c r="A16" t="s">
        <v>49</v>
      </c>
    </row>
    <row r="17" spans="1:3" ht="75" customHeight="1" x14ac:dyDescent="0.25">
      <c r="A17" s="120" t="s">
        <v>50</v>
      </c>
      <c r="B17" s="120"/>
      <c r="C17" s="31" t="s">
        <v>39</v>
      </c>
    </row>
    <row r="18" spans="1:3" ht="45" customHeight="1" x14ac:dyDescent="0.25">
      <c r="A18" s="120" t="s">
        <v>51</v>
      </c>
      <c r="B18" s="120"/>
      <c r="C18" s="31" t="s">
        <v>39</v>
      </c>
    </row>
  </sheetData>
  <mergeCells count="4">
    <mergeCell ref="A17:B17"/>
    <mergeCell ref="A18:B18"/>
    <mergeCell ref="A1:C1"/>
    <mergeCell ref="A2:C2"/>
  </mergeCells>
  <hyperlinks>
    <hyperlink ref="A17" r:id="rId1" display="http://intranet/mbo/isopro/ISO/Procesos/MEI/CAP2/MEI-9/MEI-9.5/MEI-9.5-I-01.doc" xr:uid="{00000000-0004-0000-0500-000000000000}"/>
    <hyperlink ref="C17" r:id="rId2" display="http://intranet/mbo/isopro/ISO/Procesos/MEI/Aprobaciones/P-MEI- 24-431 al 24-433.msg" xr:uid="{00000000-0004-0000-0500-000001000000}"/>
    <hyperlink ref="A18" r:id="rId3" display="http://intranet/mbo/isopro/ISO/Procesos/MEI/CAP2/MEI-9/MEI-9.5/MEI-9.5-I-02.doc" xr:uid="{00000000-0004-0000-0500-000002000000}"/>
    <hyperlink ref="C18" r:id="rId4" display="http://intranet/mbo/isopro/ISO/Procesos/MEI/Aprobaciones/P-MEI- 24-431 al 24-433.msg" xr:uid="{00000000-0004-0000-0500-000003000000}"/>
  </hyperlinks>
  <pageMargins left="0.7" right="0.7" top="0.75" bottom="0.75" header="0.3" footer="0.3"/>
  <pageSetup paperSize="9" orientation="portrait" r:id="rId5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D3BC9F-889A-4E49-A2D4-9FFFC96F4EF4}">
  <sheetPr codeName="Hoja7"/>
  <dimension ref="A1:J1060"/>
  <sheetViews>
    <sheetView zoomScale="85" zoomScaleNormal="85" workbookViewId="0">
      <selection activeCell="C13" sqref="C13"/>
    </sheetView>
  </sheetViews>
  <sheetFormatPr baseColWidth="10" defaultRowHeight="15" x14ac:dyDescent="0.25"/>
  <cols>
    <col min="2" max="2" width="24.42578125" customWidth="1"/>
    <col min="6" max="6" width="11.42578125" style="45"/>
    <col min="7" max="7" width="12.5703125" style="43" customWidth="1"/>
  </cols>
  <sheetData>
    <row r="1" spans="1:7" x14ac:dyDescent="0.25">
      <c r="A1" s="44" t="s">
        <v>77</v>
      </c>
      <c r="C1" s="58"/>
      <c r="D1" s="58"/>
      <c r="E1" s="58"/>
      <c r="F1" s="58"/>
      <c r="G1" s="59"/>
    </row>
    <row r="3" spans="1:7" x14ac:dyDescent="0.25">
      <c r="A3" s="44"/>
    </row>
    <row r="205" ht="14.25" customHeight="1" x14ac:dyDescent="0.25"/>
    <row r="206" ht="15" customHeight="1" x14ac:dyDescent="0.25"/>
    <row r="374" ht="14.25" customHeight="1" x14ac:dyDescent="0.25"/>
    <row r="598" spans="9:10" ht="15" customHeight="1" x14ac:dyDescent="0.25">
      <c r="I598" s="48"/>
      <c r="J598" s="48"/>
    </row>
    <row r="599" spans="9:10" ht="15" customHeight="1" x14ac:dyDescent="0.25">
      <c r="I599" s="48"/>
      <c r="J599" s="48"/>
    </row>
    <row r="600" spans="9:10" ht="15" customHeight="1" x14ac:dyDescent="0.25">
      <c r="I600" s="48"/>
      <c r="J600" s="48"/>
    </row>
    <row r="601" spans="9:10" ht="15" customHeight="1" x14ac:dyDescent="0.25">
      <c r="I601" s="48"/>
      <c r="J601" s="48"/>
    </row>
    <row r="602" spans="9:10" ht="15" customHeight="1" x14ac:dyDescent="0.25">
      <c r="I602" s="48"/>
      <c r="J602" s="48"/>
    </row>
    <row r="603" spans="9:10" ht="15" customHeight="1" x14ac:dyDescent="0.25">
      <c r="I603" s="48"/>
      <c r="J603" s="48"/>
    </row>
    <row r="604" spans="9:10" ht="15" customHeight="1" x14ac:dyDescent="0.25">
      <c r="I604" s="48"/>
      <c r="J604" s="48"/>
    </row>
    <row r="605" spans="9:10" ht="15" customHeight="1" x14ac:dyDescent="0.25">
      <c r="I605" s="48"/>
      <c r="J605" s="48"/>
    </row>
    <row r="606" spans="9:10" ht="15" customHeight="1" x14ac:dyDescent="0.25">
      <c r="I606" s="48"/>
      <c r="J606" s="48"/>
    </row>
    <row r="607" spans="9:10" ht="15" customHeight="1" x14ac:dyDescent="0.25">
      <c r="I607" s="48"/>
      <c r="J607" s="48"/>
    </row>
    <row r="608" spans="9:10" ht="15" customHeight="1" x14ac:dyDescent="0.25">
      <c r="I608" s="48"/>
      <c r="J608" s="48"/>
    </row>
    <row r="609" spans="9:10" ht="15" customHeight="1" x14ac:dyDescent="0.25">
      <c r="I609" s="48"/>
      <c r="J609" s="48"/>
    </row>
    <row r="610" spans="9:10" ht="15" customHeight="1" x14ac:dyDescent="0.25">
      <c r="I610" s="48"/>
      <c r="J610" s="48"/>
    </row>
    <row r="626" ht="14.25" customHeight="1" x14ac:dyDescent="0.25"/>
    <row r="1060" ht="14.25" customHeight="1" x14ac:dyDescent="0.25"/>
  </sheetData>
  <pageMargins left="0.7" right="0.7" top="0.75" bottom="0.75" header="0.3" footer="0.3"/>
  <pageSetup orientation="portrait" horizontalDpi="4294967293" verticalDpi="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9AC8603-29D6-4E20-8B17-9C47D484454D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03-07-2026 A 09-08-2026</vt:lpstr>
      <vt:lpstr>Hoja2</vt:lpstr>
      <vt:lpstr>Hoja3</vt:lpstr>
      <vt:lpstr>CURRI</vt:lpstr>
      <vt:lpstr>Excluidos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Casanova, Marlon</dc:creator>
  <cp:lastModifiedBy>Sebastian Chavez</cp:lastModifiedBy>
  <dcterms:created xsi:type="dcterms:W3CDTF">2025-02-04T13:30:00Z</dcterms:created>
  <dcterms:modified xsi:type="dcterms:W3CDTF">2026-08-10T02:24:52Z</dcterms:modified>
</cp:coreProperties>
</file>