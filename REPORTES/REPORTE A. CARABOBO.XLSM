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3B2900AE-351A-48D4-A2C9-7048BF2E1487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7-07-2026 A 02-08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'27-07-2026 A 02-08-2026'!$K$440:$BV$552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6" i="1" l="1"/>
  <c r="I23" i="1" a="1"/>
  <c r="I23" i="1" s="1"/>
  <c r="E58" i="1"/>
  <c r="E56" i="1"/>
  <c r="E51" i="1"/>
  <c r="E50" i="1"/>
  <c r="E53" i="1"/>
  <c r="E54" i="1"/>
  <c r="C19" i="1"/>
  <c r="C56" i="1"/>
  <c r="C11" i="1" s="1"/>
  <c r="C58" i="1"/>
  <c r="C13" i="1" s="1"/>
  <c r="J34" i="1" l="1"/>
  <c r="C54" i="1"/>
  <c r="C9" i="1" s="1"/>
  <c r="C51" i="1"/>
  <c r="Q2" i="1" a="1"/>
  <c r="Q2" i="1" s="1"/>
  <c r="C53" i="1"/>
  <c r="C8" i="1" s="1"/>
  <c r="C6" i="1" l="1"/>
  <c r="F6" i="1" s="1"/>
  <c r="E11" i="1"/>
  <c r="E13" i="1"/>
  <c r="F8" i="1" l="1"/>
  <c r="F9" i="1"/>
  <c r="N2" i="1" l="1"/>
  <c r="C50" i="1"/>
  <c r="C5" i="1" l="1"/>
  <c r="F5" i="1" s="1"/>
  <c r="C17" i="1"/>
  <c r="F17" i="1" s="1"/>
  <c r="F16" i="1" l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<sst xmlns="http://schemas.openxmlformats.org/spreadsheetml/2006/main" count="212" uniqueCount="105">
  <si>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</si>
  <si>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</si>
  <si>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</si>
  <si>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</si>
  <si>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</si>
  <si>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</si>
  <si>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</si>
  <si>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</si>
  <si>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CEL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</si>
  <si>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</si>
  <si>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</si>
  <si>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</si>
  <si>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</si>
  <si>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</si>
  <si>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</si>
  <si>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</si>
  <si>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</si>
  <si>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</si>
  <si>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</si>
  <si>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</si>
  <si>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</si>
  <si>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José Moncada </t>
  </si>
  <si>
    <t>NIÑO</t>
  </si>
  <si>
    <t>LAN</t>
  </si>
  <si>
    <t>TOTAL PERSONAS REGISTRADAS</t>
  </si>
  <si>
    <t>Promedio asistencia a Servicio (%)</t>
  </si>
  <si>
    <t>Promedio Inasistencia a Servicio (%)</t>
  </si>
  <si>
    <t>Promedio de nuevos p/ servicio</t>
  </si>
  <si>
    <t>LIDER</t>
  </si>
  <si>
    <t>PEN LAN</t>
  </si>
  <si>
    <t>DOM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</si>
  <si>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</si>
  <si>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</si>
  <si>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</si>
  <si>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</si>
  <si>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</si>
  <si>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</si>
  <si>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</si>
  <si>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</si>
  <si>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</si>
  <si>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</si>
  <si>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</si>
  <si>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</si>
  <si>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</si>
  <si>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</si>
  <si>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</si>
  <si>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</si>
  <si>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</si>
  <si>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</si>
  <si>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</si>
  <si>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</si>
  <si>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</si>
  <si>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ACA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</si>
  <si>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</si>
  <si>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</si>
  <si>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</si>
  <si>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</si>
  <si>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TOTAL ASISTENCIA A CÉLULA Y SERVICIO TOTAL</t>
  </si>
  <si>
    <t>TOTAL INASISTENCIA A CÉLULA Y SERVICIO  TOTAL</t>
  </si>
  <si>
    <t>MINISTRO</t>
  </si>
  <si>
    <t>PASTOR</t>
  </si>
  <si>
    <t>Fecha auto</t>
  </si>
  <si>
    <t>NUEVO</t>
  </si>
  <si>
    <t>Botón solo para uso del editor (CARGADO EN LA WEB)</t>
  </si>
  <si>
    <t>NO USAR (USO EXCLUSIVO DEL EDITOR)</t>
  </si>
  <si>
    <t>Promedio asistencia a CELulas (%)</t>
  </si>
  <si>
    <t>Promedio Inasistencia CELulas (%)</t>
  </si>
  <si>
    <t>Promedio asistente CELulas (%)</t>
  </si>
  <si>
    <t>Promedio Inasistente CELulas (%)</t>
  </si>
  <si>
    <t>form 2010</t>
  </si>
  <si>
    <t>Fecha</t>
  </si>
  <si>
    <t>N°Telefónico</t>
  </si>
  <si>
    <t>Estados</t>
  </si>
  <si>
    <t>HIPERVINCULO("https://wa.me/58" &amp; DERECHA(G23; 10); "+58" &amp; DERECHA(G23; 10))</t>
  </si>
  <si>
    <t>Hiperviculo what</t>
  </si>
  <si>
    <t>Yaskili Montilla</t>
  </si>
  <si>
    <t>Pastores Carlos Duarte y Génesis</t>
  </si>
  <si>
    <t xml:space="preserve">Ruth Hernández </t>
  </si>
  <si>
    <t>Yeri Paredes</t>
  </si>
  <si>
    <t>Morela García</t>
  </si>
  <si>
    <t xml:space="preserve">Valentina Cardenas </t>
  </si>
  <si>
    <t xml:space="preserve">Yurbin Hernández </t>
  </si>
  <si>
    <t>Imly Finol</t>
  </si>
  <si>
    <t xml:space="preserve">Oscar Ciani </t>
  </si>
  <si>
    <t>Dayana Rojas</t>
  </si>
  <si>
    <t>Deyth Domínguez</t>
  </si>
  <si>
    <t>Antoni Ciani</t>
  </si>
  <si>
    <t>Sharlyn Gonzalez</t>
  </si>
  <si>
    <t>Reidelis Benítez</t>
  </si>
  <si>
    <t>Ivanna Cardenas</t>
  </si>
  <si>
    <t>Madelanne Domínguez</t>
  </si>
  <si>
    <t>Abraham Duarte</t>
  </si>
  <si>
    <t>Yurbelis Hernández</t>
  </si>
  <si>
    <t>Daríannys Gutiérrez</t>
  </si>
  <si>
    <t>Samantha Bracho</t>
  </si>
  <si>
    <t>Ismael López</t>
  </si>
  <si>
    <t>Richelis Benítez</t>
  </si>
  <si>
    <t xml:space="preserve">Carlos Duarte </t>
  </si>
  <si>
    <t xml:space="preserve">Génesis Duarte </t>
  </si>
  <si>
    <t xml:space="preserve">Richerlis Benitez </t>
  </si>
  <si>
    <t>Deidelys Benitez</t>
  </si>
  <si>
    <t>27-07-2026 A 02-08-2026</t>
  </si>
  <si>
    <t>Añade Sabíduria a tus decisiones</t>
  </si>
  <si>
    <t>REPORTE DE ASISTENCIA GENERAL CARABOBO</t>
  </si>
  <si>
    <t>Pastores Carlos Duarte y Génesis (ASISTENCIA A AMBOS)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</si>
</sst>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3" fillId="0" borderId="0" applyNumberFormat="0" applyFill="0" applyBorder="0" applyAlignment="0" applyProtection="0"/>
    <xf numFmtId="9" fontId="19" fillId="0" borderId="0" applyFont="0" applyFill="0" applyBorder="0" applyAlignment="0" applyProtection="0"/>
  </cellStyleXfs>
  <cellXfs count="12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8" fillId="0" borderId="1" xfId="0" applyFont="1" applyBorder="1"/>
    <xf numFmtId="0" fontId="6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2" fontId="3" fillId="3" borderId="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2" fontId="3" fillId="9" borderId="1" xfId="0" applyNumberFormat="1" applyFont="1" applyFill="1" applyBorder="1" applyAlignment="1">
      <alignment horizontal="center" vertical="center"/>
    </xf>
    <xf numFmtId="2" fontId="9" fillId="9" borderId="1" xfId="0" applyNumberFormat="1" applyFont="1" applyFill="1" applyBorder="1" applyAlignment="1">
      <alignment horizontal="center" vertical="center"/>
    </xf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0" xfId="0" applyFont="1"/>
    <xf numFmtId="0" fontId="13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2" fontId="11" fillId="0" borderId="12" xfId="0" applyNumberFormat="1" applyFont="1" applyFill="1" applyBorder="1" applyAlignment="1">
      <alignment vertical="center" wrapText="1"/>
    </xf>
    <xf numFmtId="0" fontId="8" fillId="0" borderId="0" xfId="0" applyFont="1" applyFill="1" applyBorder="1"/>
    <xf numFmtId="0" fontId="5" fillId="0" borderId="0" xfId="0" applyFont="1" applyFill="1" applyBorder="1"/>
    <xf numFmtId="0" fontId="1" fillId="0" borderId="0" xfId="0" applyFont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8" borderId="0" xfId="0" applyFill="1"/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left"/>
    </xf>
    <xf numFmtId="0" fontId="10" fillId="0" borderId="0" xfId="0" applyFont="1" applyBorder="1" applyAlignment="1">
      <alignment horizontal="center" vertical="center"/>
    </xf>
    <xf numFmtId="0" fontId="18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3" fillId="0" borderId="0" xfId="1" applyNumberFormat="1" applyAlignment="1">
      <alignment horizontal="center"/>
    </xf>
    <xf numFmtId="0" fontId="13" fillId="0" borderId="0" xfId="1"/>
    <xf numFmtId="0" fontId="20" fillId="0" borderId="0" xfId="0" applyFont="1"/>
    <xf numFmtId="1" fontId="0" fillId="0" borderId="0" xfId="0" applyNumberFormat="1" applyAlignment="1">
      <alignment horizontal="center"/>
    </xf>
    <xf numFmtId="0" fontId="4" fillId="0" borderId="1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left"/>
    </xf>
    <xf numFmtId="2" fontId="4" fillId="0" borderId="0" xfId="0" applyNumberFormat="1" applyFont="1" applyFill="1" applyBorder="1" applyAlignment="1">
      <alignment horizontal="center"/>
    </xf>
    <xf numFmtId="1" fontId="13" fillId="0" borderId="0" xfId="1" applyNumberFormat="1" applyFill="1" applyBorder="1" applyAlignment="1">
      <alignment horizontal="center"/>
    </xf>
    <xf numFmtId="1" fontId="4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2" fontId="3" fillId="3" borderId="13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4" fillId="3" borderId="11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0" fontId="14" fillId="3" borderId="10" xfId="0" applyFont="1" applyFill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7" fillId="7" borderId="1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11" borderId="1" xfId="0" applyFont="1" applyFill="1" applyBorder="1" applyAlignment="1">
      <alignment horizontal="center" vertical="center" wrapText="1"/>
    </xf>
    <xf numFmtId="0" fontId="0" fillId="11" borderId="1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3" fillId="0" borderId="0" xfId="1" applyAlignment="1">
      <alignment vertical="center" wrapText="1"/>
    </xf>
    <xf numFmtId="0" fontId="12" fillId="10" borderId="0" xfId="0" applyFont="1" applyFill="1" applyAlignment="1">
      <alignment horizontal="center" vertical="center" wrapText="1"/>
    </xf>
  </cellXfs>
  <cellStyles count="3">
    <cellStyle name="Hipervínculo" xfId="1" builtinId="8"/>
    <cellStyle name="Normal" xfId="0" builtinId="0"/>
    <cellStyle name="Porcentaje" xfId="2" builtinId="5"/>
  </cellStyles>
  <dxfs count="45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21</xdr:row>
      <xdr:rowOff>59530</xdr:rowOff>
    </xdr:from>
    <xdr:to>
      <xdr:col>7</xdr:col>
      <xdr:colOff>809624</xdr:colOff>
      <xdr:row>25</xdr:row>
      <xdr:rowOff>83342</xdr:rowOff>
    </xdr:to>
    <xdr:sp macro="[0]!Marcar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238875" y="650081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142873</xdr:colOff>
      <xdr:row>26</xdr:row>
      <xdr:rowOff>23812</xdr:rowOff>
    </xdr:from>
    <xdr:to>
      <xdr:col>7</xdr:col>
      <xdr:colOff>809624</xdr:colOff>
      <xdr:row>30</xdr:row>
      <xdr:rowOff>95249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6215061" y="747712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31</xdr:row>
      <xdr:rowOff>35719</xdr:rowOff>
    </xdr:from>
    <xdr:to>
      <xdr:col>7</xdr:col>
      <xdr:colOff>809624</xdr:colOff>
      <xdr:row>37</xdr:row>
      <xdr:rowOff>142875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6298407" y="8501063"/>
          <a:ext cx="678655" cy="13096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wa.me/584122838159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a.me/584126558731" TargetMode="External"/><Relationship Id="rId1" Type="http://schemas.openxmlformats.org/officeDocument/2006/relationships/hyperlink" Target="https://wa.me/584126558731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a.me/584126558731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I674"/>
  <sheetViews>
    <sheetView tabSelected="1" zoomScale="80" zoomScaleNormal="80" workbookViewId="0">
      <selection activeCell="A21" sqref="A21:E21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6" max="6" width="11.42578125" customWidth="1"/>
    <col min="7" max="7" width="17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79" t="s">
        <v>103</v>
      </c>
      <c r="B1" s="80"/>
      <c r="C1" s="80"/>
      <c r="D1" s="80"/>
      <c r="E1" s="80"/>
      <c r="F1" s="80"/>
      <c r="G1" s="81"/>
      <c r="N1" t="s">
        <v>61</v>
      </c>
      <c r="Q1" t="s">
        <v>69</v>
      </c>
    </row>
    <row r="2" spans="1:17" ht="15.75" x14ac:dyDescent="0.25">
      <c r="A2" s="82" t="s">
        <v>101</v>
      </c>
      <c r="B2" s="83"/>
      <c r="C2" s="83"/>
      <c r="D2" s="83"/>
      <c r="E2" s="83"/>
      <c r="F2" s="83"/>
      <c r="G2" s="84"/>
      <c r="H2" s="25"/>
      <c r="N2" s="26" t="str">
        <f ca="1">IF(AND(I2="NO",J2="NO"),IF(N2="",TODAY(),N2),"")</f>
        <v/>
      </c>
      <c r="Q2" s="50" t="str" cm="1">
        <f t="array" ref="Q2">IF(ISERROR(INDEX($B$25:$B$48, SMALL(IF(($C$25:$C$48="SI")*($D$25:$D$48="SI"), ROW($B$25:$B$48)-ROW($B$25)+1), ROWS($A$1:A1)))), "", INDEX($B$25:$B$48, SMALL(IF(($C$25:$C$48="SI")*($D$25:$D$48="SI"), ROW($B$25:$B$48)-ROW($B$25)+1), ROWS($A$1:A1))))</f>
        <v/>
      </c>
    </row>
    <row r="3" spans="1:17" x14ac:dyDescent="0.25">
      <c r="A3" s="97" t="s">
        <v>9</v>
      </c>
      <c r="B3" s="98"/>
      <c r="C3" s="101" t="s">
        <v>102</v>
      </c>
      <c r="D3" s="102"/>
      <c r="E3" s="102"/>
      <c r="F3" s="102"/>
      <c r="G3" s="103"/>
      <c r="Q3" t="s">
        <v>74</v>
      </c>
    </row>
    <row r="4" spans="1:17" x14ac:dyDescent="0.25">
      <c r="A4" s="99"/>
      <c r="B4" s="100"/>
      <c r="C4" s="104"/>
      <c r="D4" s="105"/>
      <c r="E4" s="105"/>
      <c r="F4" s="105"/>
      <c r="G4" s="106"/>
      <c r="Q4" s="56" t="s">
        <v>73</v>
      </c>
    </row>
    <row r="5" spans="1:17" ht="44.25" customHeight="1" x14ac:dyDescent="0.25">
      <c r="A5" s="85" t="s">
        <v>10</v>
      </c>
      <c r="B5" s="86"/>
      <c r="C5" s="87">
        <f>C50</f>
        <v>0</v>
      </c>
      <c r="D5" s="88"/>
      <c r="E5" s="13" t="s">
        <v>12</v>
      </c>
      <c r="F5" s="23">
        <f>C5/C19*100</f>
        <v>0</v>
      </c>
      <c r="G5" s="9" t="s">
        <v>65</v>
      </c>
      <c r="H5" s="34"/>
      <c r="J5" s="107" t="s">
        <v>63</v>
      </c>
      <c r="K5" s="107"/>
    </row>
    <row r="6" spans="1:17" ht="45.75" customHeight="1" x14ac:dyDescent="0.25">
      <c r="A6" s="85" t="s">
        <v>11</v>
      </c>
      <c r="B6" s="86"/>
      <c r="C6" s="89">
        <f>C51</f>
        <v>26</v>
      </c>
      <c r="D6" s="90"/>
      <c r="E6" s="7" t="s">
        <v>12</v>
      </c>
      <c r="F6" s="23">
        <f>C6/C19*100</f>
        <v>100</v>
      </c>
      <c r="G6" s="9" t="s">
        <v>66</v>
      </c>
      <c r="H6" s="34"/>
      <c r="I6" s="25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85" t="s">
        <v>13</v>
      </c>
      <c r="B8" s="86"/>
      <c r="C8" s="87">
        <f>C53</f>
        <v>0</v>
      </c>
      <c r="D8" s="88"/>
      <c r="E8" s="7" t="s">
        <v>12</v>
      </c>
      <c r="F8" s="23">
        <f>C8/C19*100</f>
        <v>0</v>
      </c>
      <c r="G8" s="9" t="s">
        <v>25</v>
      </c>
      <c r="J8" s="107" t="s">
        <v>64</v>
      </c>
      <c r="K8" s="107"/>
    </row>
    <row r="9" spans="1:17" ht="58.5" customHeight="1" x14ac:dyDescent="0.25">
      <c r="A9" s="85" t="s">
        <v>14</v>
      </c>
      <c r="B9" s="86"/>
      <c r="C9" s="89">
        <f>C54</f>
        <v>26</v>
      </c>
      <c r="D9" s="90"/>
      <c r="E9" s="7" t="s">
        <v>12</v>
      </c>
      <c r="F9" s="24">
        <f>C9/C19*100</f>
        <v>100</v>
      </c>
      <c r="G9" s="9" t="s">
        <v>26</v>
      </c>
      <c r="I9" s="25"/>
    </row>
    <row r="10" spans="1:17" ht="18" x14ac:dyDescent="0.25">
      <c r="A10" s="38"/>
      <c r="B10" s="38"/>
      <c r="C10" s="17"/>
      <c r="D10" s="17"/>
      <c r="E10" s="39"/>
      <c r="F10" s="40"/>
      <c r="G10" s="20"/>
      <c r="H10" s="28"/>
    </row>
    <row r="11" spans="1:17" ht="15" customHeight="1" x14ac:dyDescent="0.25">
      <c r="A11" s="108" t="s">
        <v>57</v>
      </c>
      <c r="B11" s="109"/>
      <c r="C11" s="112">
        <f>C56</f>
        <v>0</v>
      </c>
      <c r="D11" s="68" t="s">
        <v>12</v>
      </c>
      <c r="E11" s="71">
        <f>C11/C19*100</f>
        <v>0</v>
      </c>
      <c r="F11" s="93" t="s">
        <v>55</v>
      </c>
      <c r="G11" s="94"/>
      <c r="H11" s="28"/>
    </row>
    <row r="12" spans="1:17" x14ac:dyDescent="0.25">
      <c r="A12" s="110"/>
      <c r="B12" s="111"/>
      <c r="C12" s="113"/>
      <c r="D12" s="69"/>
      <c r="E12" s="72"/>
      <c r="F12" s="95"/>
      <c r="G12" s="96"/>
      <c r="H12" s="28"/>
      <c r="L12" s="53"/>
    </row>
    <row r="13" spans="1:17" ht="15" customHeight="1" x14ac:dyDescent="0.25">
      <c r="A13" s="108" t="s">
        <v>58</v>
      </c>
      <c r="B13" s="109"/>
      <c r="C13" s="112">
        <f>C58</f>
        <v>26</v>
      </c>
      <c r="D13" s="68" t="s">
        <v>12</v>
      </c>
      <c r="E13" s="71">
        <f>C13/C19*100</f>
        <v>100</v>
      </c>
      <c r="F13" s="93" t="s">
        <v>56</v>
      </c>
      <c r="G13" s="94"/>
      <c r="H13" s="28"/>
    </row>
    <row r="14" spans="1:17" ht="15" customHeight="1" x14ac:dyDescent="0.25">
      <c r="A14" s="110"/>
      <c r="B14" s="111"/>
      <c r="C14" s="113"/>
      <c r="D14" s="69"/>
      <c r="E14" s="72"/>
      <c r="F14" s="95"/>
      <c r="G14" s="96"/>
      <c r="H14" s="28"/>
    </row>
    <row r="15" spans="1:17" x14ac:dyDescent="0.25">
      <c r="A15" s="38"/>
      <c r="B15" s="38"/>
      <c r="C15" s="38"/>
      <c r="D15" s="38"/>
      <c r="E15" s="38"/>
      <c r="F15" s="38"/>
      <c r="G15" s="38"/>
      <c r="H15" s="38"/>
    </row>
    <row r="16" spans="1:17" ht="30" x14ac:dyDescent="0.25">
      <c r="A16" s="85" t="s">
        <v>32</v>
      </c>
      <c r="B16" s="86"/>
      <c r="C16" s="91">
        <f>COUNTIF(E23:E312,"NUEVO")</f>
        <v>0</v>
      </c>
      <c r="D16" s="92"/>
      <c r="E16" s="7" t="s">
        <v>12</v>
      </c>
      <c r="F16" s="10">
        <f>C16/C19*100</f>
        <v>0</v>
      </c>
      <c r="G16" s="22" t="s">
        <v>31</v>
      </c>
    </row>
    <row r="17" spans="1:10" ht="45" x14ac:dyDescent="0.25">
      <c r="A17" s="85" t="s">
        <v>33</v>
      </c>
      <c r="B17" s="86"/>
      <c r="C17" s="91">
        <f>COUNTIF(C23:C576,"NUEVO")</f>
        <v>0</v>
      </c>
      <c r="D17" s="92"/>
      <c r="E17" s="7" t="s">
        <v>12</v>
      </c>
      <c r="F17" s="10">
        <f>C17/C19*100</f>
        <v>0</v>
      </c>
      <c r="G17" s="22" t="s">
        <v>27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85" t="s">
        <v>24</v>
      </c>
      <c r="B19" s="86"/>
      <c r="C19" s="91">
        <f>A48</f>
        <v>26</v>
      </c>
      <c r="D19" s="92"/>
      <c r="E19" s="7" t="s">
        <v>12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14" t="s">
        <v>76</v>
      </c>
      <c r="B21" s="115"/>
      <c r="C21" s="115"/>
      <c r="D21" s="115"/>
      <c r="E21" s="116"/>
      <c r="G21" s="65"/>
      <c r="I21" s="117" t="s">
        <v>104</v>
      </c>
      <c r="J21" s="117"/>
    </row>
    <row r="22" spans="1:10" x14ac:dyDescent="0.25">
      <c r="A22" s="11" t="s">
        <v>0</v>
      </c>
      <c r="B22" s="11" t="s">
        <v>1</v>
      </c>
      <c r="C22" s="11" t="s">
        <v>2</v>
      </c>
      <c r="D22" s="11" t="s">
        <v>3</v>
      </c>
      <c r="E22" s="11" t="s">
        <v>7</v>
      </c>
      <c r="F22" s="11" t="s">
        <v>70</v>
      </c>
      <c r="G22" s="11" t="s">
        <v>71</v>
      </c>
      <c r="I22" s="118"/>
      <c r="J22" s="118"/>
    </row>
    <row r="23" spans="1:10" x14ac:dyDescent="0.25">
      <c r="A23" s="60">
        <v>1</v>
      </c>
      <c r="B23" s="42" t="s">
        <v>97</v>
      </c>
      <c r="C23" s="14" t="s">
        <v>6</v>
      </c>
      <c r="D23" s="14" t="s">
        <v>6</v>
      </c>
      <c r="E23" s="12" t="s">
        <v>60</v>
      </c>
      <c r="F23" s="26">
        <f t="shared" ref="F23:F48" ca="1" si="0">IF(AND(C23="NO",D23="NO"),IF(F23="",TODAY(),F23),"")</f>
        <v>46242</v>
      </c>
      <c r="G23" s="62"/>
      <c r="H23" s="55"/>
      <c r="I23" s="4" t="str" cm="1">
        <f t="array" ref="I23">_xlfn._xlws.FILTER(B23:B48,(C23:C48="SI")*(D23:D48="SI"),"")</f>
        <v/>
      </c>
    </row>
    <row r="24" spans="1:10" x14ac:dyDescent="0.25">
      <c r="A24" s="60">
        <v>2</v>
      </c>
      <c r="B24" s="42" t="s">
        <v>98</v>
      </c>
      <c r="C24" s="14" t="s">
        <v>6</v>
      </c>
      <c r="D24" s="14" t="s">
        <v>6</v>
      </c>
      <c r="E24" s="12" t="s">
        <v>60</v>
      </c>
      <c r="F24" s="26">
        <f t="shared" ca="1" si="0"/>
        <v>46242</v>
      </c>
      <c r="G24" s="62"/>
      <c r="H24" s="55"/>
    </row>
    <row r="25" spans="1:10" ht="15.75" customHeight="1" x14ac:dyDescent="0.25">
      <c r="A25" s="60">
        <v>3</v>
      </c>
      <c r="B25" s="42" t="s">
        <v>77</v>
      </c>
      <c r="C25" s="14" t="s">
        <v>6</v>
      </c>
      <c r="D25" s="14" t="s">
        <v>6</v>
      </c>
      <c r="E25" s="12" t="s">
        <v>30</v>
      </c>
      <c r="F25" s="26">
        <f t="shared" ca="1" si="0"/>
        <v>46242</v>
      </c>
      <c r="G25" s="62"/>
      <c r="J25" s="4"/>
    </row>
    <row r="26" spans="1:10" ht="16.5" customHeight="1" x14ac:dyDescent="0.25">
      <c r="A26" s="60">
        <v>4</v>
      </c>
      <c r="B26" s="42" t="s">
        <v>21</v>
      </c>
      <c r="C26" s="14" t="s">
        <v>6</v>
      </c>
      <c r="D26" s="14" t="s">
        <v>6</v>
      </c>
      <c r="E26" s="12" t="s">
        <v>30</v>
      </c>
      <c r="F26" s="26">
        <f t="shared" ca="1" si="0"/>
        <v>46242</v>
      </c>
      <c r="G26" s="62"/>
      <c r="I26" s="4"/>
      <c r="J26" s="4"/>
    </row>
    <row r="27" spans="1:10" x14ac:dyDescent="0.25">
      <c r="A27" s="60">
        <v>5</v>
      </c>
      <c r="B27" s="42" t="s">
        <v>78</v>
      </c>
      <c r="C27" s="14" t="s">
        <v>6</v>
      </c>
      <c r="D27" s="14" t="s">
        <v>6</v>
      </c>
      <c r="E27" s="12" t="s">
        <v>30</v>
      </c>
      <c r="F27" s="26">
        <f t="shared" ca="1" si="0"/>
        <v>46242</v>
      </c>
      <c r="G27" s="62"/>
      <c r="I27" s="4"/>
      <c r="J27" s="4"/>
    </row>
    <row r="28" spans="1:10" ht="16.5" customHeight="1" x14ac:dyDescent="0.25">
      <c r="A28" s="60">
        <v>6</v>
      </c>
      <c r="B28" s="42" t="s">
        <v>79</v>
      </c>
      <c r="C28" s="14" t="s">
        <v>6</v>
      </c>
      <c r="D28" s="14" t="s">
        <v>6</v>
      </c>
      <c r="E28" s="12" t="s">
        <v>30</v>
      </c>
      <c r="F28" s="26">
        <f t="shared" ca="1" si="0"/>
        <v>46242</v>
      </c>
      <c r="G28" s="62"/>
      <c r="I28" s="4"/>
      <c r="J28" s="4"/>
    </row>
    <row r="29" spans="1:10" ht="15" customHeight="1" x14ac:dyDescent="0.25">
      <c r="A29" s="60">
        <v>7</v>
      </c>
      <c r="B29" s="42" t="s">
        <v>80</v>
      </c>
      <c r="C29" s="14" t="s">
        <v>6</v>
      </c>
      <c r="D29" s="14" t="s">
        <v>6</v>
      </c>
      <c r="E29" s="12" t="s">
        <v>30</v>
      </c>
      <c r="F29" s="26">
        <f t="shared" ca="1" si="0"/>
        <v>46242</v>
      </c>
      <c r="G29" s="62"/>
      <c r="I29" s="4"/>
      <c r="J29" s="4"/>
    </row>
    <row r="30" spans="1:10" x14ac:dyDescent="0.25">
      <c r="A30" s="60">
        <v>8</v>
      </c>
      <c r="B30" s="42" t="s">
        <v>81</v>
      </c>
      <c r="C30" s="14" t="s">
        <v>6</v>
      </c>
      <c r="D30" s="14" t="s">
        <v>6</v>
      </c>
      <c r="E30" s="12" t="s">
        <v>30</v>
      </c>
      <c r="F30" s="26">
        <f t="shared" ca="1" si="0"/>
        <v>46242</v>
      </c>
      <c r="G30" s="62"/>
      <c r="I30" s="4"/>
      <c r="J30" s="4"/>
    </row>
    <row r="31" spans="1:10" x14ac:dyDescent="0.25">
      <c r="A31" s="60">
        <v>9</v>
      </c>
      <c r="B31" s="42" t="s">
        <v>82</v>
      </c>
      <c r="C31" s="14" t="s">
        <v>6</v>
      </c>
      <c r="D31" s="14" t="s">
        <v>6</v>
      </c>
      <c r="E31" s="12" t="s">
        <v>30</v>
      </c>
      <c r="F31" s="26">
        <f t="shared" ca="1" si="0"/>
        <v>46242</v>
      </c>
      <c r="G31" s="62"/>
      <c r="I31" s="4"/>
      <c r="J31" s="4"/>
    </row>
    <row r="32" spans="1:10" x14ac:dyDescent="0.25">
      <c r="A32" s="60">
        <v>10</v>
      </c>
      <c r="B32" s="42" t="s">
        <v>83</v>
      </c>
      <c r="C32" s="14" t="s">
        <v>6</v>
      </c>
      <c r="D32" s="14" t="s">
        <v>6</v>
      </c>
      <c r="E32" s="12" t="s">
        <v>30</v>
      </c>
      <c r="F32" s="26">
        <f t="shared" ca="1" si="0"/>
        <v>46242</v>
      </c>
      <c r="G32" s="62"/>
      <c r="I32" s="4"/>
      <c r="J32" s="4"/>
    </row>
    <row r="33" spans="1:10" x14ac:dyDescent="0.25">
      <c r="A33" s="60">
        <v>11</v>
      </c>
      <c r="B33" s="42" t="s">
        <v>84</v>
      </c>
      <c r="C33" s="14" t="s">
        <v>6</v>
      </c>
      <c r="D33" s="14" t="s">
        <v>6</v>
      </c>
      <c r="E33" s="12" t="s">
        <v>30</v>
      </c>
      <c r="F33" s="26">
        <f t="shared" ca="1" si="0"/>
        <v>46242</v>
      </c>
      <c r="G33" s="63">
        <v>584122838159</v>
      </c>
      <c r="I33" s="4"/>
      <c r="J33" s="4"/>
    </row>
    <row r="34" spans="1:10" ht="15" customHeight="1" x14ac:dyDescent="0.25">
      <c r="A34" s="60">
        <v>12</v>
      </c>
      <c r="B34" s="61" t="s">
        <v>89</v>
      </c>
      <c r="C34" s="14" t="s">
        <v>6</v>
      </c>
      <c r="D34" s="14" t="s">
        <v>6</v>
      </c>
      <c r="E34" s="12" t="s">
        <v>22</v>
      </c>
      <c r="F34" s="26">
        <f t="shared" ca="1" si="0"/>
        <v>46242</v>
      </c>
      <c r="G34" s="62"/>
      <c r="I34" s="4"/>
      <c r="J34" s="49">
        <f>C56</f>
        <v>0</v>
      </c>
    </row>
    <row r="35" spans="1:10" x14ac:dyDescent="0.25">
      <c r="A35" s="60">
        <v>13</v>
      </c>
      <c r="B35" s="61" t="s">
        <v>90</v>
      </c>
      <c r="C35" s="14" t="s">
        <v>6</v>
      </c>
      <c r="D35" s="14" t="s">
        <v>6</v>
      </c>
      <c r="E35" s="12" t="s">
        <v>22</v>
      </c>
      <c r="F35" s="26">
        <f t="shared" ca="1" si="0"/>
        <v>46242</v>
      </c>
      <c r="G35" s="62"/>
      <c r="I35" s="4"/>
      <c r="J35" s="4"/>
    </row>
    <row r="36" spans="1:10" x14ac:dyDescent="0.25">
      <c r="A36" s="60">
        <v>14</v>
      </c>
      <c r="B36" s="61" t="s">
        <v>85</v>
      </c>
      <c r="C36" s="14" t="s">
        <v>6</v>
      </c>
      <c r="D36" s="14" t="s">
        <v>6</v>
      </c>
      <c r="E36" s="12" t="s">
        <v>22</v>
      </c>
      <c r="F36" s="26">
        <f t="shared" ca="1" si="0"/>
        <v>46242</v>
      </c>
      <c r="G36" s="62"/>
    </row>
    <row r="37" spans="1:10" ht="15.75" customHeight="1" x14ac:dyDescent="0.25">
      <c r="A37" s="60">
        <v>15</v>
      </c>
      <c r="B37" s="61" t="s">
        <v>91</v>
      </c>
      <c r="C37" s="14" t="s">
        <v>6</v>
      </c>
      <c r="D37" s="14" t="s">
        <v>6</v>
      </c>
      <c r="E37" s="12" t="s">
        <v>22</v>
      </c>
      <c r="F37" s="26">
        <f t="shared" ca="1" si="0"/>
        <v>46242</v>
      </c>
      <c r="G37" s="62"/>
      <c r="I37" s="4"/>
      <c r="J37" s="4"/>
    </row>
    <row r="38" spans="1:10" ht="15" customHeight="1" x14ac:dyDescent="0.25">
      <c r="A38" s="60">
        <v>16</v>
      </c>
      <c r="B38" s="61" t="s">
        <v>92</v>
      </c>
      <c r="C38" s="14" t="s">
        <v>6</v>
      </c>
      <c r="D38" s="14" t="s">
        <v>6</v>
      </c>
      <c r="E38" s="12" t="s">
        <v>22</v>
      </c>
      <c r="F38" s="26">
        <f t="shared" ca="1" si="0"/>
        <v>46242</v>
      </c>
      <c r="G38" s="62"/>
      <c r="I38" s="4"/>
      <c r="J38" s="4"/>
    </row>
    <row r="39" spans="1:10" ht="15" customHeight="1" x14ac:dyDescent="0.25">
      <c r="A39" s="60">
        <v>17</v>
      </c>
      <c r="B39" s="61" t="s">
        <v>86</v>
      </c>
      <c r="C39" s="14" t="s">
        <v>6</v>
      </c>
      <c r="D39" s="14" t="s">
        <v>6</v>
      </c>
      <c r="E39" s="12" t="s">
        <v>22</v>
      </c>
      <c r="F39" s="26">
        <f t="shared" ca="1" si="0"/>
        <v>46242</v>
      </c>
      <c r="G39" s="62"/>
    </row>
    <row r="40" spans="1:10" x14ac:dyDescent="0.25">
      <c r="A40" s="60">
        <v>18</v>
      </c>
      <c r="B40" s="61" t="s">
        <v>93</v>
      </c>
      <c r="C40" s="14" t="s">
        <v>6</v>
      </c>
      <c r="D40" s="14" t="s">
        <v>6</v>
      </c>
      <c r="E40" s="12" t="s">
        <v>22</v>
      </c>
      <c r="F40" s="26">
        <f t="shared" ca="1" si="0"/>
        <v>46242</v>
      </c>
      <c r="G40" s="62"/>
    </row>
    <row r="41" spans="1:10" ht="15" customHeight="1" x14ac:dyDescent="0.25">
      <c r="A41" s="60">
        <v>19</v>
      </c>
      <c r="B41" s="61" t="s">
        <v>87</v>
      </c>
      <c r="C41" s="14" t="s">
        <v>6</v>
      </c>
      <c r="D41" s="14" t="s">
        <v>6</v>
      </c>
      <c r="E41" s="12" t="s">
        <v>22</v>
      </c>
      <c r="F41" s="26">
        <f t="shared" ca="1" si="0"/>
        <v>46242</v>
      </c>
      <c r="G41" s="62"/>
    </row>
    <row r="42" spans="1:10" x14ac:dyDescent="0.25">
      <c r="A42" s="60">
        <v>20</v>
      </c>
      <c r="B42" s="61" t="s">
        <v>94</v>
      </c>
      <c r="C42" s="14" t="s">
        <v>6</v>
      </c>
      <c r="D42" s="14" t="s">
        <v>6</v>
      </c>
      <c r="E42" s="12" t="s">
        <v>22</v>
      </c>
      <c r="F42" s="26">
        <f t="shared" ca="1" si="0"/>
        <v>46242</v>
      </c>
      <c r="G42" s="62"/>
    </row>
    <row r="43" spans="1:10" x14ac:dyDescent="0.25">
      <c r="A43" s="60">
        <v>21</v>
      </c>
      <c r="B43" s="61" t="s">
        <v>95</v>
      </c>
      <c r="C43" s="14" t="s">
        <v>6</v>
      </c>
      <c r="D43" s="14" t="s">
        <v>6</v>
      </c>
      <c r="E43" s="12" t="s">
        <v>22</v>
      </c>
      <c r="F43" s="26">
        <f t="shared" ca="1" si="0"/>
        <v>46242</v>
      </c>
      <c r="G43" s="62"/>
    </row>
    <row r="44" spans="1:10" x14ac:dyDescent="0.25">
      <c r="A44" s="60">
        <v>22</v>
      </c>
      <c r="B44" s="61" t="s">
        <v>96</v>
      </c>
      <c r="C44" s="14" t="s">
        <v>6</v>
      </c>
      <c r="D44" s="14" t="s">
        <v>6</v>
      </c>
      <c r="E44" s="12" t="s">
        <v>22</v>
      </c>
      <c r="F44" s="26">
        <f t="shared" ca="1" si="0"/>
        <v>46242</v>
      </c>
      <c r="G44" s="64"/>
    </row>
    <row r="45" spans="1:10" x14ac:dyDescent="0.25">
      <c r="A45" s="60">
        <v>23</v>
      </c>
      <c r="B45" s="61" t="s">
        <v>88</v>
      </c>
      <c r="C45" s="14" t="s">
        <v>6</v>
      </c>
      <c r="D45" s="14" t="s">
        <v>6</v>
      </c>
      <c r="E45" s="12" t="s">
        <v>22</v>
      </c>
      <c r="F45" s="26">
        <f t="shared" ca="1" si="0"/>
        <v>46242</v>
      </c>
      <c r="G45" s="64"/>
    </row>
    <row r="46" spans="1:10" x14ac:dyDescent="0.25">
      <c r="A46" s="60">
        <v>24</v>
      </c>
      <c r="B46" s="27" t="s">
        <v>75</v>
      </c>
      <c r="C46" s="14" t="s">
        <v>6</v>
      </c>
      <c r="D46" s="14" t="s">
        <v>6</v>
      </c>
      <c r="E46" s="12" t="s">
        <v>22</v>
      </c>
      <c r="F46" s="26">
        <f t="shared" ca="1" si="0"/>
        <v>46237</v>
      </c>
      <c r="G46" s="54">
        <v>584126558731</v>
      </c>
    </row>
    <row r="47" spans="1:10" x14ac:dyDescent="0.25">
      <c r="A47" s="60">
        <v>25</v>
      </c>
      <c r="B47" s="27" t="s">
        <v>99</v>
      </c>
      <c r="C47" s="14" t="s">
        <v>6</v>
      </c>
      <c r="D47" s="14" t="s">
        <v>6</v>
      </c>
      <c r="E47" s="12" t="s">
        <v>22</v>
      </c>
      <c r="F47" s="26">
        <f t="shared" ca="1" si="0"/>
        <v>46242</v>
      </c>
      <c r="G47" s="54">
        <v>584126558731</v>
      </c>
    </row>
    <row r="48" spans="1:10" ht="15" customHeight="1" x14ac:dyDescent="0.25">
      <c r="A48" s="60">
        <v>26</v>
      </c>
      <c r="B48" s="27" t="s">
        <v>100</v>
      </c>
      <c r="C48" s="14" t="s">
        <v>6</v>
      </c>
      <c r="D48" s="14" t="s">
        <v>6</v>
      </c>
      <c r="E48" s="12" t="s">
        <v>22</v>
      </c>
      <c r="F48" s="26">
        <f t="shared" ca="1" si="0"/>
        <v>46242</v>
      </c>
      <c r="G48" s="54">
        <v>584126558731</v>
      </c>
    </row>
    <row r="49" spans="1:7" ht="15" customHeight="1" x14ac:dyDescent="0.25">
      <c r="G49" s="57"/>
    </row>
    <row r="50" spans="1:7" ht="45" x14ac:dyDescent="0.25">
      <c r="A50" s="66" t="s">
        <v>15</v>
      </c>
      <c r="B50" s="67"/>
      <c r="C50" s="8">
        <f>COUNTIF(C25:C48, "SI")</f>
        <v>0</v>
      </c>
      <c r="D50" s="6" t="s">
        <v>12</v>
      </c>
      <c r="E50" s="21">
        <f>C50/A48*100</f>
        <v>0</v>
      </c>
      <c r="F50" s="9" t="s">
        <v>67</v>
      </c>
      <c r="G50" s="57"/>
    </row>
    <row r="51" spans="1:7" ht="45" x14ac:dyDescent="0.25">
      <c r="A51" s="66" t="s">
        <v>16</v>
      </c>
      <c r="B51" s="67"/>
      <c r="C51" s="8">
        <f>COUNTIF(C23:C48, "NO")</f>
        <v>26</v>
      </c>
      <c r="D51" s="6" t="s">
        <v>12</v>
      </c>
      <c r="E51" s="21">
        <f>C51/A48*100</f>
        <v>100</v>
      </c>
      <c r="F51" s="9" t="s">
        <v>68</v>
      </c>
      <c r="G51" s="57"/>
    </row>
    <row r="52" spans="1:7" ht="18" x14ac:dyDescent="0.25">
      <c r="A52" s="16"/>
      <c r="B52" s="16"/>
      <c r="C52" s="17"/>
      <c r="D52" s="18"/>
      <c r="E52" s="19"/>
      <c r="F52" s="20"/>
      <c r="G52" s="57"/>
    </row>
    <row r="53" spans="1:7" ht="45" x14ac:dyDescent="0.25">
      <c r="A53" s="66" t="s">
        <v>17</v>
      </c>
      <c r="B53" s="67"/>
      <c r="C53" s="8">
        <f>COUNTIF(D22:D48, "SI")</f>
        <v>0</v>
      </c>
      <c r="D53" s="6" t="s">
        <v>12</v>
      </c>
      <c r="E53" s="21">
        <f>C53/A48*100</f>
        <v>0</v>
      </c>
      <c r="F53" s="9" t="s">
        <v>19</v>
      </c>
      <c r="G53" s="57"/>
    </row>
    <row r="54" spans="1:7" ht="45" x14ac:dyDescent="0.25">
      <c r="A54" s="66" t="s">
        <v>18</v>
      </c>
      <c r="B54" s="67"/>
      <c r="C54" s="8">
        <f>COUNTIF(D23:D48, "NO")</f>
        <v>26</v>
      </c>
      <c r="D54" s="6" t="s">
        <v>12</v>
      </c>
      <c r="E54" s="21">
        <f>C54/A48*100</f>
        <v>100</v>
      </c>
      <c r="F54" s="9" t="s">
        <v>20</v>
      </c>
      <c r="G54" s="57"/>
    </row>
    <row r="55" spans="1:7" ht="18" x14ac:dyDescent="0.25">
      <c r="A55" s="16"/>
      <c r="B55" s="16"/>
      <c r="C55" s="17"/>
      <c r="D55" s="18"/>
      <c r="E55" s="19"/>
      <c r="F55" s="37"/>
      <c r="G55" s="57"/>
    </row>
    <row r="56" spans="1:7" ht="18" x14ac:dyDescent="0.25">
      <c r="A56" s="73" t="s">
        <v>53</v>
      </c>
      <c r="B56" s="74"/>
      <c r="C56" s="70">
        <f>COUNTIFS(C23:C48,"SI",D23:D48,"SI")</f>
        <v>0</v>
      </c>
      <c r="D56" s="68" t="s">
        <v>12</v>
      </c>
      <c r="E56" s="71">
        <f>C56/A48*100</f>
        <v>0</v>
      </c>
      <c r="F56" s="77" t="s">
        <v>55</v>
      </c>
      <c r="G56" s="57"/>
    </row>
    <row r="57" spans="1:7" x14ac:dyDescent="0.25">
      <c r="A57" s="75"/>
      <c r="B57" s="76"/>
      <c r="C57" s="70"/>
      <c r="D57" s="69"/>
      <c r="E57" s="72"/>
      <c r="F57" s="78"/>
      <c r="G57" s="57"/>
    </row>
    <row r="58" spans="1:7" ht="18" customHeight="1" x14ac:dyDescent="0.25">
      <c r="A58" s="73" t="s">
        <v>54</v>
      </c>
      <c r="B58" s="74"/>
      <c r="C58" s="70">
        <f>COUNTIFS(C23:C48,"NO",D23:D48,"NO")</f>
        <v>26</v>
      </c>
      <c r="D58" s="68" t="s">
        <v>12</v>
      </c>
      <c r="E58" s="71">
        <f>C58/A48*100</f>
        <v>100</v>
      </c>
      <c r="F58" s="77" t="s">
        <v>56</v>
      </c>
      <c r="G58" s="57"/>
    </row>
    <row r="59" spans="1:7" ht="18" customHeight="1" x14ac:dyDescent="0.25">
      <c r="A59" s="75"/>
      <c r="B59" s="76"/>
      <c r="C59" s="70"/>
      <c r="D59" s="69"/>
      <c r="E59" s="72"/>
      <c r="F59" s="78"/>
      <c r="G59" s="57"/>
    </row>
    <row r="60" spans="1:7" ht="18" x14ac:dyDescent="0.25">
      <c r="A60" s="16"/>
      <c r="B60" s="16"/>
      <c r="C60" s="17"/>
      <c r="D60" s="18"/>
      <c r="E60" s="19"/>
      <c r="F60" s="37"/>
      <c r="G60" s="43"/>
    </row>
    <row r="61" spans="1:7" x14ac:dyDescent="0.25">
      <c r="G61" s="43"/>
    </row>
    <row r="62" spans="1:7" x14ac:dyDescent="0.25">
      <c r="G62" s="57"/>
    </row>
    <row r="63" spans="1:7" x14ac:dyDescent="0.25">
      <c r="G63" s="57"/>
    </row>
    <row r="64" spans="1:7" x14ac:dyDescent="0.25">
      <c r="G64" s="43"/>
    </row>
    <row r="65" spans="7:9" x14ac:dyDescent="0.25">
      <c r="G65" s="57"/>
    </row>
    <row r="66" spans="7:9" x14ac:dyDescent="0.25">
      <c r="G66" s="57"/>
    </row>
    <row r="67" spans="7:9" x14ac:dyDescent="0.25">
      <c r="G67" s="57"/>
    </row>
    <row r="68" spans="7:9" x14ac:dyDescent="0.25">
      <c r="G68" s="57"/>
    </row>
    <row r="69" spans="7:9" x14ac:dyDescent="0.25">
      <c r="G69" s="57"/>
    </row>
    <row r="70" spans="7:9" x14ac:dyDescent="0.25">
      <c r="G70" s="57"/>
    </row>
    <row r="71" spans="7:9" x14ac:dyDescent="0.25">
      <c r="G71" s="57"/>
    </row>
    <row r="72" spans="7:9" x14ac:dyDescent="0.25">
      <c r="G72" s="57"/>
      <c r="I72" s="46"/>
    </row>
    <row r="73" spans="7:9" x14ac:dyDescent="0.25">
      <c r="G73" s="57"/>
      <c r="I73" s="47"/>
    </row>
    <row r="74" spans="7:9" x14ac:dyDescent="0.25">
      <c r="G74" s="57"/>
    </row>
    <row r="75" spans="7:9" x14ac:dyDescent="0.25">
      <c r="G75" s="57"/>
    </row>
    <row r="76" spans="7:9" x14ac:dyDescent="0.25">
      <c r="G76" s="57"/>
    </row>
    <row r="77" spans="7:9" x14ac:dyDescent="0.25">
      <c r="G77" s="43"/>
    </row>
    <row r="78" spans="7:9" x14ac:dyDescent="0.25">
      <c r="G78" s="57"/>
    </row>
    <row r="79" spans="7:9" x14ac:dyDescent="0.25">
      <c r="G79" s="57"/>
    </row>
    <row r="80" spans="7:9" x14ac:dyDescent="0.25">
      <c r="G80" s="57"/>
    </row>
    <row r="81" spans="7:7" x14ac:dyDescent="0.25">
      <c r="G81" s="57"/>
    </row>
    <row r="82" spans="7:7" x14ac:dyDescent="0.25">
      <c r="G82" s="57"/>
    </row>
    <row r="83" spans="7:7" x14ac:dyDescent="0.25">
      <c r="G83" s="52"/>
    </row>
    <row r="84" spans="7:7" x14ac:dyDescent="0.25">
      <c r="G84" s="52"/>
    </row>
    <row r="85" spans="7:7" x14ac:dyDescent="0.25">
      <c r="G85" s="52"/>
    </row>
    <row r="86" spans="7:7" x14ac:dyDescent="0.25">
      <c r="G86" s="52"/>
    </row>
    <row r="87" spans="7:7" x14ac:dyDescent="0.25">
      <c r="G87" s="52"/>
    </row>
    <row r="88" spans="7:7" x14ac:dyDescent="0.25">
      <c r="G88" s="52"/>
    </row>
    <row r="89" spans="7:7" x14ac:dyDescent="0.25">
      <c r="G89" s="52"/>
    </row>
    <row r="90" spans="7:7" ht="15" customHeight="1" x14ac:dyDescent="0.25">
      <c r="G90" s="52"/>
    </row>
    <row r="91" spans="7:7" ht="15" customHeight="1" x14ac:dyDescent="0.25">
      <c r="G91" s="52"/>
    </row>
    <row r="92" spans="7:7" ht="15" customHeight="1" x14ac:dyDescent="0.25">
      <c r="G92" s="52"/>
    </row>
    <row r="93" spans="7:7" ht="15" customHeight="1" x14ac:dyDescent="0.25">
      <c r="G93" s="52"/>
    </row>
    <row r="94" spans="7:7" x14ac:dyDescent="0.25">
      <c r="G94" s="52"/>
    </row>
    <row r="96" spans="7:7" ht="14.25" customHeight="1" x14ac:dyDescent="0.25"/>
    <row r="97" ht="15" customHeight="1" x14ac:dyDescent="0.25"/>
    <row r="98" ht="15" customHeight="1" x14ac:dyDescent="0.25"/>
    <row r="100" ht="15" customHeight="1" x14ac:dyDescent="0.25"/>
    <row r="101" ht="15" customHeight="1" x14ac:dyDescent="0.25"/>
    <row r="102" ht="15" customHeight="1" x14ac:dyDescent="0.25"/>
    <row r="104" ht="15" customHeight="1" x14ac:dyDescent="0.25"/>
    <row r="105" ht="15" customHeight="1" x14ac:dyDescent="0.25"/>
    <row r="106" ht="15" customHeight="1" x14ac:dyDescent="0.25"/>
    <row r="116" ht="15" customHeight="1" x14ac:dyDescent="0.25"/>
    <row r="119" ht="15" customHeight="1" x14ac:dyDescent="0.25"/>
    <row r="122" ht="15" customHeight="1" x14ac:dyDescent="0.25"/>
    <row r="123" ht="15" customHeight="1" x14ac:dyDescent="0.25"/>
    <row r="130" spans="12:17" ht="15" customHeight="1" x14ac:dyDescent="0.25"/>
    <row r="131" spans="12:17" ht="15" customHeight="1" x14ac:dyDescent="0.25">
      <c r="L131" s="29"/>
      <c r="M131" s="36"/>
      <c r="N131" s="29"/>
      <c r="O131" s="29"/>
      <c r="P131" s="35"/>
      <c r="Q131" s="32"/>
    </row>
    <row r="132" spans="12:17" ht="15.75" customHeight="1" x14ac:dyDescent="0.25"/>
    <row r="133" spans="12:17" ht="15.75" customHeight="1" x14ac:dyDescent="0.25"/>
    <row r="164" ht="15.75" customHeight="1" x14ac:dyDescent="0.25"/>
    <row r="178" spans="28:35" ht="15" customHeight="1" x14ac:dyDescent="0.25"/>
    <row r="179" spans="28:35" ht="15" customHeight="1" x14ac:dyDescent="0.25"/>
    <row r="181" spans="28:35" x14ac:dyDescent="0.25">
      <c r="AB181" s="29"/>
      <c r="AC181" s="36"/>
      <c r="AD181" s="29"/>
      <c r="AE181" s="29"/>
      <c r="AF181" s="35"/>
      <c r="AG181" s="32"/>
      <c r="AI181" s="33"/>
    </row>
    <row r="182" spans="28:35" ht="13.5" customHeight="1" x14ac:dyDescent="0.25"/>
    <row r="191" spans="28:35" ht="14.25" customHeight="1" x14ac:dyDescent="0.25"/>
    <row r="197" ht="13.5" customHeight="1" x14ac:dyDescent="0.25"/>
    <row r="218" ht="15" customHeight="1" x14ac:dyDescent="0.25"/>
    <row r="236" ht="15" customHeight="1" x14ac:dyDescent="0.25"/>
    <row r="245" ht="15" customHeight="1" x14ac:dyDescent="0.25"/>
    <row r="247" ht="15" customHeight="1" x14ac:dyDescent="0.25"/>
    <row r="253" ht="15" customHeight="1" x14ac:dyDescent="0.25"/>
    <row r="254" ht="15" customHeight="1" x14ac:dyDescent="0.25"/>
    <row r="255" ht="14.25" customHeight="1" x14ac:dyDescent="0.25"/>
    <row r="277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6" ht="15.75" customHeight="1" x14ac:dyDescent="0.25"/>
    <row r="326" spans="1:10" s="33" customFormat="1" ht="17.25" customHeight="1" x14ac:dyDescent="0.25">
      <c r="A326"/>
      <c r="B326"/>
      <c r="C326"/>
      <c r="D326"/>
      <c r="E326"/>
      <c r="F326"/>
      <c r="G326"/>
      <c r="H326"/>
      <c r="I326"/>
      <c r="J326"/>
    </row>
    <row r="331" spans="1:10" ht="13.5" customHeight="1" x14ac:dyDescent="0.25"/>
    <row r="333" spans="1:10" ht="15" customHeight="1" x14ac:dyDescent="0.25"/>
    <row r="336" spans="1:10" ht="15" customHeight="1" x14ac:dyDescent="0.25"/>
    <row r="338" ht="15" customHeight="1" x14ac:dyDescent="0.25"/>
    <row r="355" ht="15" customHeight="1" x14ac:dyDescent="0.25"/>
    <row r="377" ht="15.75" customHeight="1" x14ac:dyDescent="0.25"/>
    <row r="381" ht="13.5" customHeight="1" x14ac:dyDescent="0.25"/>
    <row r="382" ht="13.5" customHeight="1" x14ac:dyDescent="0.25"/>
    <row r="385" ht="13.5" customHeight="1" x14ac:dyDescent="0.25"/>
    <row r="386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7.25" customHeight="1" x14ac:dyDescent="0.25"/>
    <row r="400" ht="12.7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30" ht="15" customHeight="1" x14ac:dyDescent="0.25"/>
    <row r="439" ht="15" customHeight="1" x14ac:dyDescent="0.25"/>
    <row r="440" ht="15" customHeight="1" x14ac:dyDescent="0.25"/>
    <row r="441" ht="15" customHeight="1" x14ac:dyDescent="0.25"/>
    <row r="442" ht="15" customHeight="1" x14ac:dyDescent="0.25"/>
    <row r="444" ht="15" customHeight="1" x14ac:dyDescent="0.25"/>
    <row r="445" ht="15" customHeight="1" x14ac:dyDescent="0.25"/>
    <row r="446" ht="15.75" customHeight="1" x14ac:dyDescent="0.25"/>
    <row r="452" ht="15.75" customHeight="1" x14ac:dyDescent="0.25"/>
    <row r="454" ht="15" customHeight="1" x14ac:dyDescent="0.25"/>
    <row r="458" ht="15" customHeight="1" x14ac:dyDescent="0.25"/>
    <row r="474" ht="13.5" customHeight="1" x14ac:dyDescent="0.25"/>
    <row r="485" ht="15" customHeight="1" x14ac:dyDescent="0.25"/>
    <row r="505" ht="15" customHeight="1" x14ac:dyDescent="0.25"/>
    <row r="506" ht="15" customHeight="1" x14ac:dyDescent="0.25"/>
    <row r="510" ht="14.25" customHeight="1" x14ac:dyDescent="0.25"/>
    <row r="515" ht="13.5" customHeight="1" x14ac:dyDescent="0.25"/>
    <row r="516" ht="13.5" customHeight="1" x14ac:dyDescent="0.25"/>
    <row r="518" ht="15" customHeight="1" x14ac:dyDescent="0.25"/>
    <row r="521" ht="15" customHeight="1" x14ac:dyDescent="0.25"/>
    <row r="522" ht="15" customHeight="1" x14ac:dyDescent="0.25"/>
    <row r="523" ht="15" customHeight="1" x14ac:dyDescent="0.25"/>
    <row r="526" ht="15" customHeight="1" x14ac:dyDescent="0.25"/>
    <row r="527" ht="15" customHeight="1" x14ac:dyDescent="0.25"/>
    <row r="530" ht="15" customHeight="1" x14ac:dyDescent="0.25"/>
    <row r="531" ht="15" customHeight="1" x14ac:dyDescent="0.25"/>
    <row r="533" ht="15" customHeight="1" x14ac:dyDescent="0.25"/>
    <row r="534" ht="15" customHeight="1" x14ac:dyDescent="0.25"/>
    <row r="536" ht="14.25" customHeight="1" x14ac:dyDescent="0.25"/>
    <row r="537" ht="15" customHeight="1" x14ac:dyDescent="0.25"/>
    <row r="538" ht="15" customHeight="1" x14ac:dyDescent="0.25"/>
    <row r="539" ht="15" customHeight="1" x14ac:dyDescent="0.25"/>
    <row r="540" ht="15" customHeight="1" x14ac:dyDescent="0.25"/>
    <row r="543" ht="15" customHeight="1" x14ac:dyDescent="0.25"/>
    <row r="544" ht="15" customHeight="1" x14ac:dyDescent="0.25"/>
    <row r="545" spans="1:10" ht="15" customHeight="1" x14ac:dyDescent="0.25"/>
    <row r="548" spans="1:10" ht="15" customHeight="1" x14ac:dyDescent="0.25"/>
    <row r="549" spans="1:10" ht="15" customHeight="1" x14ac:dyDescent="0.25"/>
    <row r="550" spans="1:10" ht="15" customHeight="1" x14ac:dyDescent="0.25"/>
    <row r="551" spans="1:10" ht="15" customHeight="1" x14ac:dyDescent="0.25"/>
    <row r="552" spans="1:10" ht="15" customHeight="1" x14ac:dyDescent="0.25"/>
    <row r="553" spans="1:10" ht="15" customHeight="1" x14ac:dyDescent="0.25"/>
    <row r="556" spans="1:10" s="41" customFormat="1" x14ac:dyDescent="0.25">
      <c r="A556"/>
      <c r="B556"/>
      <c r="C556"/>
      <c r="D556"/>
      <c r="E556"/>
      <c r="F556"/>
      <c r="G556"/>
      <c r="H556"/>
      <c r="I556"/>
      <c r="J556"/>
    </row>
    <row r="557" spans="1:10" s="41" customFormat="1" x14ac:dyDescent="0.25">
      <c r="A557"/>
      <c r="B557"/>
      <c r="C557"/>
      <c r="D557"/>
      <c r="E557"/>
      <c r="F557"/>
      <c r="G557"/>
      <c r="H557"/>
      <c r="I557"/>
      <c r="J557"/>
    </row>
    <row r="566" ht="15" customHeight="1" x14ac:dyDescent="0.25"/>
    <row r="567" ht="15" customHeight="1" x14ac:dyDescent="0.25"/>
    <row r="568" ht="15" customHeight="1" x14ac:dyDescent="0.25"/>
    <row r="569" ht="15" customHeight="1" x14ac:dyDescent="0.25"/>
    <row r="570" ht="15" customHeight="1" x14ac:dyDescent="0.25"/>
    <row r="571" ht="15" customHeight="1" x14ac:dyDescent="0.25"/>
    <row r="573" ht="15" customHeight="1" x14ac:dyDescent="0.25"/>
    <row r="588" ht="16.5" customHeight="1" x14ac:dyDescent="0.25"/>
    <row r="590" ht="15" customHeight="1" x14ac:dyDescent="0.25"/>
    <row r="591" ht="14.25" customHeight="1" x14ac:dyDescent="0.25"/>
    <row r="610" ht="36" customHeight="1" x14ac:dyDescent="0.25"/>
    <row r="613" ht="22.5" customHeight="1" x14ac:dyDescent="0.25"/>
    <row r="615" ht="15" customHeight="1" x14ac:dyDescent="0.25"/>
    <row r="616" ht="13.5" customHeight="1" x14ac:dyDescent="0.25"/>
    <row r="623" ht="13.5" customHeight="1" x14ac:dyDescent="0.25"/>
    <row r="634" ht="15" customHeight="1" x14ac:dyDescent="0.25"/>
    <row r="635" ht="28.5" customHeight="1" x14ac:dyDescent="0.25"/>
    <row r="667" ht="15" customHeight="1" x14ac:dyDescent="0.25"/>
    <row r="671" ht="15" customHeight="1" x14ac:dyDescent="0.25"/>
    <row r="672" ht="15" customHeight="1" x14ac:dyDescent="0.25"/>
    <row r="673" ht="15" customHeight="1" x14ac:dyDescent="0.25"/>
    <row r="674" ht="15" customHeight="1" x14ac:dyDescent="0.25"/>
  </sheetData>
  <mergeCells count="46">
    <mergeCell ref="J8:K8"/>
    <mergeCell ref="A21:E21"/>
    <mergeCell ref="D58:D59"/>
    <mergeCell ref="C56:C57"/>
    <mergeCell ref="A58:B59"/>
    <mergeCell ref="A54:B54"/>
    <mergeCell ref="A53:B53"/>
    <mergeCell ref="J5:K5"/>
    <mergeCell ref="A13:B14"/>
    <mergeCell ref="C13:C14"/>
    <mergeCell ref="D13:D14"/>
    <mergeCell ref="A11:B12"/>
    <mergeCell ref="C11:C12"/>
    <mergeCell ref="D11:D12"/>
    <mergeCell ref="C8:D8"/>
    <mergeCell ref="A17:B17"/>
    <mergeCell ref="F58:F59"/>
    <mergeCell ref="I21:J22"/>
    <mergeCell ref="A1:G1"/>
    <mergeCell ref="A2:G2"/>
    <mergeCell ref="F56:F57"/>
    <mergeCell ref="A51:B51"/>
    <mergeCell ref="E56:E57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56:B57"/>
    <mergeCell ref="F11:G12"/>
    <mergeCell ref="E13:E14"/>
    <mergeCell ref="C19:D19"/>
    <mergeCell ref="A3:B4"/>
    <mergeCell ref="C3:G4"/>
    <mergeCell ref="C16:D16"/>
    <mergeCell ref="A50:B50"/>
    <mergeCell ref="D56:D57"/>
    <mergeCell ref="C58:C59"/>
    <mergeCell ref="E58:E59"/>
  </mergeCells>
  <phoneticPr fontId="17" type="noConversion"/>
  <conditionalFormatting sqref="F17">
    <cfRule type="colorScale" priority="14178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2003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N131:O131">
    <cfRule type="containsText" dxfId="44" priority="6723" operator="containsText" text="NO+$D$4:$D$10">
      <formula>NOT(ISERROR(SEARCH("NO+$D$4:$D$10",N131)))</formula>
    </cfRule>
  </conditionalFormatting>
  <conditionalFormatting sqref="N131:O131">
    <cfRule type="containsText" dxfId="43" priority="6721" operator="containsText" text="SI">
      <formula>NOT(ISERROR(SEARCH("SI",N131)))</formula>
    </cfRule>
    <cfRule type="containsText" dxfId="42" priority="6722" operator="containsText" text="NO">
      <formula>NOT(ISERROR(SEARCH("NO",N131)))</formula>
    </cfRule>
  </conditionalFormatting>
  <conditionalFormatting sqref="N131:P131">
    <cfRule type="containsText" dxfId="41" priority="6720" operator="containsText" text="NUEVO">
      <formula>NOT(ISERROR(SEARCH("NUEVO",N131)))</formula>
    </cfRule>
  </conditionalFormatting>
  <conditionalFormatting sqref="P131">
    <cfRule type="containsText" dxfId="40" priority="6719" operator="containsText" text="Sin Información">
      <formula>NOT(ISERROR(SEARCH("Sin Información",P131)))</formula>
    </cfRule>
  </conditionalFormatting>
  <conditionalFormatting sqref="AD181:AE181">
    <cfRule type="containsText" dxfId="39" priority="3697" operator="containsText" text="NO+$D$4:$D$10">
      <formula>NOT(ISERROR(SEARCH("NO+$D$4:$D$10",AD181)))</formula>
    </cfRule>
  </conditionalFormatting>
  <conditionalFormatting sqref="AD181:AE181">
    <cfRule type="containsText" dxfId="38" priority="3695" operator="containsText" text="SI">
      <formula>NOT(ISERROR(SEARCH("SI",AD181)))</formula>
    </cfRule>
    <cfRule type="containsText" dxfId="37" priority="3696" operator="containsText" text="NO">
      <formula>NOT(ISERROR(SEARCH("NO",AD181)))</formula>
    </cfRule>
  </conditionalFormatting>
  <conditionalFormatting sqref="AD181:AE181">
    <cfRule type="containsText" dxfId="36" priority="3694" operator="containsText" text="NUEVO">
      <formula>NOT(ISERROR(SEARCH("NUEVO",AD181)))</formula>
    </cfRule>
  </conditionalFormatting>
  <conditionalFormatting sqref="AF181">
    <cfRule type="containsText" dxfId="35" priority="3693" operator="containsText" text="NUEVO">
      <formula>NOT(ISERROR(SEARCH("NUEVO",AF181)))</formula>
    </cfRule>
  </conditionalFormatting>
  <conditionalFormatting sqref="AF181">
    <cfRule type="containsText" dxfId="34" priority="3692" operator="containsText" text="Sin Información">
      <formula>NOT(ISERROR(SEARCH("Sin Información",AF181)))</formula>
    </cfRule>
  </conditionalFormatting>
  <conditionalFormatting sqref="G82 G62:G63 G78:G80 G65:G76 G49:G59">
    <cfRule type="expression" dxfId="33" priority="1985">
      <formula>G49&lt;&gt;""</formula>
    </cfRule>
  </conditionalFormatting>
  <conditionalFormatting sqref="I34 I37:J38 I24:J24 J25 J23 I35:J35 I26:J33 I62:J63 I65:J74 I52:J59 I41:J50">
    <cfRule type="expression" dxfId="32" priority="1980">
      <formula>OR(I23&lt;&gt;"", J23&lt;&gt;"")</formula>
    </cfRule>
  </conditionalFormatting>
  <conditionalFormatting sqref="J34">
    <cfRule type="expression" dxfId="31" priority="29207">
      <formula>OR(J34&lt;&gt;"", K40&lt;&gt;"")</formula>
    </cfRule>
  </conditionalFormatting>
  <conditionalFormatting sqref="I23">
    <cfRule type="expression" dxfId="30" priority="29396">
      <formula>OR(I23&lt;&gt;"", J25&lt;&gt;"")</formula>
    </cfRule>
  </conditionalFormatting>
  <conditionalFormatting sqref="I25">
    <cfRule type="expression" dxfId="29" priority="1122">
      <formula>OR(I25&lt;&gt;"", J25&lt;&gt;"")</formula>
    </cfRule>
  </conditionalFormatting>
  <conditionalFormatting sqref="G81">
    <cfRule type="expression" dxfId="28" priority="389">
      <formula>G81&lt;&gt;""</formula>
    </cfRule>
  </conditionalFormatting>
  <conditionalFormatting sqref="G48">
    <cfRule type="expression" dxfId="27" priority="28">
      <formula>G48&lt;&gt;""</formula>
    </cfRule>
  </conditionalFormatting>
  <conditionalFormatting sqref="F48">
    <cfRule type="expression" dxfId="26" priority="27">
      <formula>F48&lt;&gt;""</formula>
    </cfRule>
  </conditionalFormatting>
  <conditionalFormatting sqref="E23:E45 E48">
    <cfRule type="containsText" dxfId="25" priority="26" operator="containsText" text="NUEVO">
      <formula>NOT(ISERROR(SEARCH("NUEVO",E23)))</formula>
    </cfRule>
  </conditionalFormatting>
  <conditionalFormatting sqref="E23:E45 E48">
    <cfRule type="containsText" dxfId="24" priority="25" operator="containsText" text="Sin Información">
      <formula>NOT(ISERROR(SEARCH("Sin Información",E23)))</formula>
    </cfRule>
  </conditionalFormatting>
  <conditionalFormatting sqref="E23:E45 E48">
    <cfRule type="expression" dxfId="23" priority="24">
      <formula>E23&lt;&gt;""</formula>
    </cfRule>
  </conditionalFormatting>
  <conditionalFormatting sqref="C23:C45">
    <cfRule type="containsText" dxfId="22" priority="23" operator="containsText" text="NO+$D$4:$D$10">
      <formula>NOT(ISERROR(SEARCH("NO+$D$4:$D$10",C23)))</formula>
    </cfRule>
  </conditionalFormatting>
  <conditionalFormatting sqref="C23:C45">
    <cfRule type="containsText" dxfId="21" priority="21" operator="containsText" text="SI">
      <formula>NOT(ISERROR(SEARCH("SI",C23)))</formula>
    </cfRule>
    <cfRule type="containsText" dxfId="20" priority="22" operator="containsText" text="NO">
      <formula>NOT(ISERROR(SEARCH("NO",C23)))</formula>
    </cfRule>
  </conditionalFormatting>
  <conditionalFormatting sqref="C23:C45">
    <cfRule type="containsText" dxfId="19" priority="20" operator="containsText" text="NUEVO">
      <formula>NOT(ISERROR(SEARCH("NUEVO",C23)))</formula>
    </cfRule>
  </conditionalFormatting>
  <conditionalFormatting sqref="D23:D48">
    <cfRule type="containsText" dxfId="18" priority="19" operator="containsText" text="NO+$D$4:$D$10">
      <formula>NOT(ISERROR(SEARCH("NO+$D$4:$D$10",D23)))</formula>
    </cfRule>
  </conditionalFormatting>
  <conditionalFormatting sqref="D23:D48">
    <cfRule type="containsText" dxfId="17" priority="17" operator="containsText" text="SI">
      <formula>NOT(ISERROR(SEARCH("SI",D23)))</formula>
    </cfRule>
    <cfRule type="containsText" dxfId="16" priority="18" operator="containsText" text="NO">
      <formula>NOT(ISERROR(SEARCH("NO",D23)))</formula>
    </cfRule>
  </conditionalFormatting>
  <conditionalFormatting sqref="D23:D48">
    <cfRule type="containsText" dxfId="15" priority="16" operator="containsText" text="NUEVO">
      <formula>NOT(ISERROR(SEARCH("NUEVO",D23)))</formula>
    </cfRule>
  </conditionalFormatting>
  <conditionalFormatting sqref="F23:F45">
    <cfRule type="expression" dxfId="14" priority="15">
      <formula>F23&lt;&gt;""</formula>
    </cfRule>
  </conditionalFormatting>
  <conditionalFormatting sqref="G46">
    <cfRule type="expression" dxfId="13" priority="14">
      <formula>G46&lt;&gt;""</formula>
    </cfRule>
  </conditionalFormatting>
  <conditionalFormatting sqref="F46">
    <cfRule type="expression" dxfId="12" priority="13">
      <formula>F46&lt;&gt;""</formula>
    </cfRule>
  </conditionalFormatting>
  <conditionalFormatting sqref="C46:C48">
    <cfRule type="containsText" dxfId="11" priority="12" operator="containsText" text="NO+$D$4:$D$10">
      <formula>NOT(ISERROR(SEARCH("NO+$D$4:$D$10",C46)))</formula>
    </cfRule>
  </conditionalFormatting>
  <conditionalFormatting sqref="C46:C48">
    <cfRule type="containsText" dxfId="10" priority="10" operator="containsText" text="SI">
      <formula>NOT(ISERROR(SEARCH("SI",C46)))</formula>
    </cfRule>
    <cfRule type="containsText" dxfId="9" priority="11" operator="containsText" text="NO">
      <formula>NOT(ISERROR(SEARCH("NO",C46)))</formula>
    </cfRule>
  </conditionalFormatting>
  <conditionalFormatting sqref="C46:C48">
    <cfRule type="containsText" dxfId="8" priority="9" operator="containsText" text="NUEVO">
      <formula>NOT(ISERROR(SEARCH("NUEVO",C46)))</formula>
    </cfRule>
  </conditionalFormatting>
  <conditionalFormatting sqref="E46">
    <cfRule type="containsText" dxfId="7" priority="8" operator="containsText" text="NUEVO">
      <formula>NOT(ISERROR(SEARCH("NUEVO",E46)))</formula>
    </cfRule>
  </conditionalFormatting>
  <conditionalFormatting sqref="E46">
    <cfRule type="containsText" dxfId="6" priority="7" operator="containsText" text="Sin Información">
      <formula>NOT(ISERROR(SEARCH("Sin Información",E46)))</formula>
    </cfRule>
  </conditionalFormatting>
  <conditionalFormatting sqref="E46">
    <cfRule type="expression" dxfId="5" priority="6">
      <formula>E46&lt;&gt;""</formula>
    </cfRule>
  </conditionalFormatting>
  <conditionalFormatting sqref="G47">
    <cfRule type="expression" dxfId="4" priority="5">
      <formula>G47&lt;&gt;""</formula>
    </cfRule>
  </conditionalFormatting>
  <conditionalFormatting sqref="F47">
    <cfRule type="expression" dxfId="3" priority="4">
      <formula>F47&lt;&gt;""</formula>
    </cfRule>
  </conditionalFormatting>
  <conditionalFormatting sqref="E47">
    <cfRule type="containsText" dxfId="2" priority="3" operator="containsText" text="NUEVO">
      <formula>NOT(ISERROR(SEARCH("NUEVO",E47)))</formula>
    </cfRule>
  </conditionalFormatting>
  <conditionalFormatting sqref="E47">
    <cfRule type="containsText" dxfId="1" priority="2" operator="containsText" text="Sin Información">
      <formula>NOT(ISERROR(SEARCH("Sin Información",E47)))</formula>
    </cfRule>
  </conditionalFormatting>
  <conditionalFormatting sqref="E47">
    <cfRule type="expression" dxfId="0" priority="1">
      <formula>E47&lt;&gt;""</formula>
    </cfRule>
  </conditionalFormatting>
  <hyperlinks>
    <hyperlink ref="G48" r:id="rId1" display="+584126558731" xr:uid="{6FA06271-6470-4587-9E0C-8B1DD62D8913}"/>
    <hyperlink ref="G46" r:id="rId2" display="+584126558731" xr:uid="{3D099BAB-44C7-4D0D-82CB-BCFB71826429}"/>
    <hyperlink ref="G33" r:id="rId3" display="+584122838159" xr:uid="{23F8A5DF-0D37-4B53-9725-27F73890B58C}"/>
    <hyperlink ref="G47" r:id="rId4" display="+584126558731" xr:uid="{ED4303E5-48BC-4821-A7A8-10DA6907F3C1}"/>
  </hyperlinks>
  <pageMargins left="0.7" right="0.7" top="0.75" bottom="0.75" header="0.3" footer="0.3"/>
  <pageSetup paperSize="9" orientation="portrait" r:id="rId5"/>
  <drawing r:id="rId6"/>
  <legacyDrawing r:id="rId7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N131:O131 AD181:AE181 C23:D48</xm:sqref>
        </x14:dataValidation>
        <x14:dataValidation type="list" allowBlank="1" showInputMessage="1" showErrorMessage="1" xr:uid="{42D67E3A-749B-4A7D-8731-FBAFC2BB2F4D}">
          <x14:formula1>
            <xm:f>Hoja2!$D$2:$D$11</xm:f>
          </x14:formula1>
          <xm:sqref>E23:E48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119" t="s">
        <v>4</v>
      </c>
      <c r="B1" s="119"/>
      <c r="D1" s="51" t="s">
        <v>72</v>
      </c>
    </row>
    <row r="2" spans="1:4" x14ac:dyDescent="0.25">
      <c r="A2" s="1" t="s">
        <v>5</v>
      </c>
      <c r="B2" s="1" t="s">
        <v>5</v>
      </c>
      <c r="D2" s="51" t="s">
        <v>8</v>
      </c>
    </row>
    <row r="3" spans="1:4" x14ac:dyDescent="0.25">
      <c r="A3" s="1" t="s">
        <v>6</v>
      </c>
      <c r="B3" s="1" t="s">
        <v>6</v>
      </c>
      <c r="D3" s="51" t="s">
        <v>52</v>
      </c>
    </row>
    <row r="4" spans="1:4" x14ac:dyDescent="0.25">
      <c r="A4" s="2" t="s">
        <v>62</v>
      </c>
      <c r="D4" s="51" t="s">
        <v>30</v>
      </c>
    </row>
    <row r="5" spans="1:4" x14ac:dyDescent="0.25">
      <c r="D5" s="51" t="s">
        <v>29</v>
      </c>
    </row>
    <row r="6" spans="1:4" x14ac:dyDescent="0.25">
      <c r="D6" s="51" t="s">
        <v>23</v>
      </c>
    </row>
    <row r="7" spans="1:4" x14ac:dyDescent="0.25">
      <c r="D7" s="51" t="s">
        <v>62</v>
      </c>
    </row>
    <row r="8" spans="1:4" x14ac:dyDescent="0.25">
      <c r="D8" s="51" t="s">
        <v>28</v>
      </c>
    </row>
    <row r="9" spans="1:4" x14ac:dyDescent="0.25">
      <c r="B9" s="15"/>
      <c r="D9" s="51" t="s">
        <v>22</v>
      </c>
    </row>
    <row r="10" spans="1:4" x14ac:dyDescent="0.25">
      <c r="D10" s="51" t="s">
        <v>60</v>
      </c>
    </row>
    <row r="11" spans="1:4" x14ac:dyDescent="0.25">
      <c r="D11" s="51" t="s">
        <v>59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121"/>
      <c r="B1" s="121"/>
      <c r="C1" s="121"/>
    </row>
    <row r="2" spans="1:3" ht="42.75" customHeight="1" x14ac:dyDescent="0.25">
      <c r="A2" s="121" t="s">
        <v>34</v>
      </c>
      <c r="B2" s="121"/>
      <c r="C2" s="121"/>
    </row>
    <row r="3" spans="1:3" x14ac:dyDescent="0.25">
      <c r="A3" s="30" t="s">
        <v>35</v>
      </c>
    </row>
    <row r="4" spans="1:3" x14ac:dyDescent="0.25">
      <c r="A4" s="30" t="s">
        <v>36</v>
      </c>
    </row>
    <row r="5" spans="1:3" x14ac:dyDescent="0.25">
      <c r="A5" s="30" t="s">
        <v>37</v>
      </c>
    </row>
    <row r="6" spans="1:3" x14ac:dyDescent="0.25">
      <c r="A6" t="s">
        <v>38</v>
      </c>
    </row>
    <row r="7" spans="1:3" x14ac:dyDescent="0.25">
      <c r="A7" t="s">
        <v>40</v>
      </c>
    </row>
    <row r="8" spans="1:3" x14ac:dyDescent="0.25">
      <c r="A8" t="s">
        <v>41</v>
      </c>
      <c r="C8" t="s">
        <v>39</v>
      </c>
    </row>
    <row r="9" spans="1:3" x14ac:dyDescent="0.25">
      <c r="A9" t="s">
        <v>42</v>
      </c>
      <c r="C9" t="s">
        <v>39</v>
      </c>
    </row>
    <row r="10" spans="1:3" x14ac:dyDescent="0.25">
      <c r="A10" t="s">
        <v>43</v>
      </c>
      <c r="C10" t="s">
        <v>39</v>
      </c>
    </row>
    <row r="11" spans="1:3" x14ac:dyDescent="0.25">
      <c r="A11" t="s">
        <v>44</v>
      </c>
      <c r="C11" t="s">
        <v>39</v>
      </c>
    </row>
    <row r="12" spans="1:3" x14ac:dyDescent="0.25">
      <c r="A12" t="s">
        <v>45</v>
      </c>
      <c r="C12" t="s">
        <v>39</v>
      </c>
    </row>
    <row r="13" spans="1:3" x14ac:dyDescent="0.25">
      <c r="A13" t="s">
        <v>46</v>
      </c>
      <c r="C13" t="s">
        <v>39</v>
      </c>
    </row>
    <row r="14" spans="1:3" x14ac:dyDescent="0.25">
      <c r="A14" t="s">
        <v>47</v>
      </c>
      <c r="C14" t="s">
        <v>39</v>
      </c>
    </row>
    <row r="15" spans="1:3" x14ac:dyDescent="0.25">
      <c r="A15" t="s">
        <v>48</v>
      </c>
      <c r="C15" t="s">
        <v>39</v>
      </c>
    </row>
    <row r="16" spans="1:3" x14ac:dyDescent="0.25">
      <c r="A16" t="s">
        <v>49</v>
      </c>
    </row>
    <row r="17" spans="1:3" ht="75" customHeight="1" x14ac:dyDescent="0.25">
      <c r="A17" s="120" t="s">
        <v>50</v>
      </c>
      <c r="B17" s="120"/>
      <c r="C17" s="31" t="s">
        <v>39</v>
      </c>
    </row>
    <row r="18" spans="1:3" ht="45" customHeight="1" x14ac:dyDescent="0.25">
      <c r="A18" s="120" t="s">
        <v>51</v>
      </c>
      <c r="B18" s="120"/>
      <c r="C18" s="31" t="s">
        <v>39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060"/>
  <sheetViews>
    <sheetView zoomScale="85" zoomScaleNormal="85" workbookViewId="0">
      <selection activeCell="C13" sqref="C13"/>
    </sheetView>
  </sheetViews>
  <sheetFormatPr baseColWidth="10" defaultRowHeight="15" x14ac:dyDescent="0.25"/>
  <cols>
    <col min="2" max="2" width="24.42578125" customWidth="1"/>
    <col min="6" max="6" width="11.42578125" style="45"/>
    <col min="7" max="7" width="12.5703125" style="43" customWidth="1"/>
  </cols>
  <sheetData>
    <row r="1" spans="1:7" x14ac:dyDescent="0.25">
      <c r="A1" s="44" t="s">
        <v>76</v>
      </c>
      <c r="C1" s="58"/>
      <c r="D1" s="58"/>
      <c r="E1" s="58"/>
      <c r="F1" s="58"/>
      <c r="G1" s="59"/>
    </row>
    <row r="3" spans="1:7" x14ac:dyDescent="0.25">
      <c r="A3" s="44"/>
    </row>
    <row r="205" ht="14.25" customHeight="1" x14ac:dyDescent="0.25"/>
    <row r="206" ht="15" customHeight="1" x14ac:dyDescent="0.25"/>
    <row r="374" ht="14.25" customHeight="1" x14ac:dyDescent="0.25"/>
    <row r="598" spans="9:10" ht="15" customHeight="1" x14ac:dyDescent="0.25">
      <c r="I598" s="48"/>
      <c r="J598" s="48"/>
    </row>
    <row r="599" spans="9:10" ht="15" customHeight="1" x14ac:dyDescent="0.25">
      <c r="I599" s="48"/>
      <c r="J599" s="48"/>
    </row>
    <row r="600" spans="9:10" ht="15" customHeight="1" x14ac:dyDescent="0.25">
      <c r="I600" s="48"/>
      <c r="J600" s="48"/>
    </row>
    <row r="601" spans="9:10" ht="15" customHeight="1" x14ac:dyDescent="0.25">
      <c r="I601" s="48"/>
      <c r="J601" s="48"/>
    </row>
    <row r="602" spans="9:10" ht="15" customHeight="1" x14ac:dyDescent="0.25">
      <c r="I602" s="48"/>
      <c r="J602" s="48"/>
    </row>
    <row r="603" spans="9:10" ht="15" customHeight="1" x14ac:dyDescent="0.25">
      <c r="I603" s="48"/>
      <c r="J603" s="48"/>
    </row>
    <row r="604" spans="9:10" ht="15" customHeight="1" x14ac:dyDescent="0.25">
      <c r="I604" s="48"/>
      <c r="J604" s="48"/>
    </row>
    <row r="605" spans="9:10" ht="15" customHeight="1" x14ac:dyDescent="0.25">
      <c r="I605" s="48"/>
      <c r="J605" s="48"/>
    </row>
    <row r="606" spans="9:10" ht="15" customHeight="1" x14ac:dyDescent="0.25">
      <c r="I606" s="48"/>
      <c r="J606" s="48"/>
    </row>
    <row r="607" spans="9:10" ht="15" customHeight="1" x14ac:dyDescent="0.25">
      <c r="I607" s="48"/>
      <c r="J607" s="48"/>
    </row>
    <row r="608" spans="9:10" ht="15" customHeight="1" x14ac:dyDescent="0.25">
      <c r="I608" s="48"/>
      <c r="J608" s="48"/>
    </row>
    <row r="609" spans="9:10" ht="15" customHeight="1" x14ac:dyDescent="0.25">
      <c r="I609" s="48"/>
      <c r="J609" s="48"/>
    </row>
    <row r="610" spans="9:10" ht="15" customHeight="1" x14ac:dyDescent="0.25">
      <c r="I610" s="48"/>
      <c r="J610" s="48"/>
    </row>
    <row r="626" ht="14.25" customHeight="1" x14ac:dyDescent="0.25"/>
    <row r="1060" ht="14.25" customHeight="1" x14ac:dyDescent="0.25"/>
  </sheetData>
  <pageMargins left="0.7" right="0.7" top="0.75" bottom="0.75" header="0.3" footer="0.3"/>
  <pageSetup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27-07-2026 A 02-08-2026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2026-08-08T16:56:28Z</dcterms:modified>
</cp:coreProperties>
</file>