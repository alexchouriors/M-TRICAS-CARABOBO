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6F81774E-3CF4-40A5-B939-E776BBEDB18A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0-07-2026 A 16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'10-07-2026 A 16-08-2026'!$A$22:$AI$143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3" i="1" l="1"/>
  <c r="C145" i="1"/>
  <c r="F138" i="1"/>
  <c r="F139" i="1"/>
  <c r="F140" i="1"/>
  <c r="F141" i="1"/>
  <c r="F133" i="1"/>
  <c r="F134" i="1"/>
  <c r="F135" i="1"/>
  <c r="F136" i="1"/>
  <c r="F137" i="1"/>
  <c r="F132" i="1"/>
  <c r="F131" i="1"/>
  <c r="F130" i="1"/>
  <c r="F129" i="1"/>
  <c r="F128" i="1"/>
  <c r="F127" i="1"/>
  <c r="F126" i="1"/>
  <c r="F125" i="1"/>
  <c r="F124" i="1"/>
  <c r="F122" i="1"/>
  <c r="C153" i="1" l="1"/>
  <c r="C151" i="1"/>
  <c r="C148" i="1"/>
  <c r="C146" i="1"/>
  <c r="I23" i="1" l="1" a="1"/>
  <c r="I23" i="1" s="1"/>
  <c r="C19" i="1"/>
  <c r="C11" i="1"/>
  <c r="C13" i="1"/>
  <c r="E151" i="1" l="1"/>
  <c r="E153" i="1"/>
  <c r="J32" i="1"/>
  <c r="C149" i="1"/>
  <c r="E146" i="1"/>
  <c r="Q2" i="1" a="1"/>
  <c r="Q2" i="1" s="1"/>
  <c r="C8" i="1" l="1"/>
  <c r="E148" i="1"/>
  <c r="C9" i="1"/>
  <c r="E149" i="1"/>
  <c r="C6" i="1"/>
  <c r="F6" i="1" s="1"/>
  <c r="E11" i="1"/>
  <c r="E13" i="1"/>
  <c r="F8" i="1" l="1"/>
  <c r="F9" i="1"/>
  <c r="N2" i="1" l="1"/>
  <c r="E145" i="1"/>
  <c r="C16" i="1" s="1"/>
  <c r="C5" i="1" l="1"/>
  <c r="F5" i="1" s="1"/>
  <c r="C17" i="1"/>
  <c r="F17" i="1" s="1"/>
  <c r="F16" i="1" l="1"/>
  <c r="F40" i="1"/>
  <c r="F41" i="1"/>
  <c r="F42" i="1"/>
  <c r="F76" i="1"/>
  <c r="F23" i="1"/>
  <c r="F24" i="1"/>
  <c r="F143" i="1"/>
  <c r="F64" i="1"/>
  <c r="F39" i="1"/>
  <c r="F46" i="1"/>
  <c r="F48" i="1"/>
  <c r="F49" i="1"/>
  <c r="F53" i="1"/>
  <c r="F50" i="1"/>
  <c r="F51" i="1"/>
  <c r="F80" i="1"/>
  <c r="F114" i="1"/>
  <c r="F119" i="1"/>
  <c r="F47" i="1"/>
  <c r="F25" i="1"/>
  <c r="F26" i="1"/>
  <c r="F29" i="1"/>
  <c r="F30" i="1"/>
  <c r="F55" i="1"/>
  <c r="F56" i="1"/>
  <c r="F58" i="1"/>
  <c r="F59" i="1"/>
  <c r="F60" i="1"/>
  <c r="F73" i="1"/>
  <c r="F88" i="1"/>
  <c r="F111" i="1"/>
  <c r="F57" i="1"/>
  <c r="F92" i="1"/>
  <c r="F93" i="1"/>
  <c r="F101" i="1"/>
  <c r="F106" i="1"/>
  <c r="F108" i="1"/>
  <c r="F115" i="1"/>
  <c r="F45" i="1"/>
  <c r="F66" i="1"/>
  <c r="F68" i="1"/>
  <c r="F69" i="1"/>
  <c r="F70" i="1"/>
  <c r="F81" i="1"/>
  <c r="F118" i="1"/>
  <c r="F52" i="1"/>
  <c r="F87" i="1"/>
  <c r="F62" i="1"/>
  <c r="F74" i="1"/>
  <c r="F75" i="1"/>
  <c r="F34" i="1"/>
  <c r="F27" i="1" l="1"/>
  <c r="F28" i="1"/>
  <c r="F31" i="1"/>
  <c r="F32" i="1"/>
  <c r="F33" i="1"/>
  <c r="F35" i="1"/>
  <c r="F36" i="1"/>
  <c r="F37" i="1"/>
  <c r="F38" i="1"/>
  <c r="F44" i="1"/>
  <c r="F54" i="1"/>
  <c r="F61" i="1"/>
  <c r="F63" i="1"/>
  <c r="F65" i="1"/>
  <c r="F67" i="1"/>
  <c r="F71" i="1"/>
  <c r="F72" i="1"/>
  <c r="F77" i="1"/>
  <c r="F78" i="1"/>
  <c r="F79" i="1"/>
  <c r="F82" i="1"/>
  <c r="F83" i="1"/>
  <c r="F84" i="1"/>
  <c r="F85" i="1"/>
  <c r="F86" i="1"/>
  <c r="F89" i="1"/>
  <c r="F90" i="1"/>
  <c r="F91" i="1"/>
  <c r="F94" i="1"/>
  <c r="F95" i="1"/>
  <c r="F96" i="1"/>
  <c r="F97" i="1"/>
  <c r="F98" i="1"/>
  <c r="F99" i="1"/>
  <c r="F100" i="1"/>
  <c r="F102" i="1"/>
  <c r="F103" i="1"/>
  <c r="F104" i="1"/>
  <c r="F105" i="1"/>
  <c r="F107" i="1"/>
  <c r="F109" i="1"/>
  <c r="F110" i="1"/>
  <c r="F112" i="1"/>
  <c r="F113" i="1"/>
  <c r="F116" i="1"/>
  <c r="F117" i="1"/>
  <c r="F120" i="1"/>
  <c r="F1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<sst xmlns="http://schemas.openxmlformats.org/spreadsheetml/2006/main" count="592" uniqueCount="198">
  <si>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</si>
  <si>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</si>
  <si>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</si>
  <si>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</si>
  <si>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</si>
  <si>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</si>
  <si>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</si>
  <si>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</si>
  <si>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CEL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</si>
  <si>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</si>
  <si>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</si>
  <si>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</si>
  <si>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</si>
  <si>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</si>
  <si>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</si>
  <si>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</si>
  <si>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</si>
  <si>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</si>
  <si>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</si>
  <si>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</si>
  <si>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</si>
  <si>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>NIÑO</t>
  </si>
  <si>
    <t>Carmen Gutierrez</t>
  </si>
  <si>
    <t>LAN</t>
  </si>
  <si>
    <t>TOTAL PERSONAS REGISTRADAS</t>
  </si>
  <si>
    <t>Promedio asistencia a Servicio (%)</t>
  </si>
  <si>
    <t>Promedio Inasistencia a Servicio (%)</t>
  </si>
  <si>
    <t>Promedio de nuevos p/ servicio</t>
  </si>
  <si>
    <t>LIDER</t>
  </si>
  <si>
    <t>PEN LAN</t>
  </si>
  <si>
    <t>DOM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</si>
  <si>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</si>
  <si>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</si>
  <si>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</si>
  <si>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</si>
  <si>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</si>
  <si>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</si>
  <si>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</si>
  <si>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</si>
  <si>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</si>
  <si>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</si>
  <si>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</si>
  <si>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</si>
  <si>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</si>
  <si>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</si>
  <si>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</si>
  <si>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</si>
  <si>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</si>
  <si>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</si>
  <si>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</si>
  <si>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</si>
  <si>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</si>
  <si>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ACA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</si>
  <si>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</si>
  <si>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</si>
  <si>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</si>
  <si>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</si>
  <si>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TOTAL ASISTENCIA A CÉLULA Y SERVICIO TOTAL</t>
  </si>
  <si>
    <t>TOTAL INASISTENCIA A CÉLULA Y SERVICIO  TOTAL</t>
  </si>
  <si>
    <t>MINISTRO</t>
  </si>
  <si>
    <t>Carlos Navarro</t>
  </si>
  <si>
    <t>PASTOR</t>
  </si>
  <si>
    <t>Fecha auto</t>
  </si>
  <si>
    <t>NUEVO</t>
  </si>
  <si>
    <t>Botón solo para uso del editor (CARGADO EN LA WEB)</t>
  </si>
  <si>
    <t>NO USAR (USO EXCLUSIVO DEL EDITOR)</t>
  </si>
  <si>
    <t>Promedio asistencia a CELulas (%)</t>
  </si>
  <si>
    <t>Promedio Inasistencia CELulas (%)</t>
  </si>
  <si>
    <t>Promedio asistente CELulas (%)</t>
  </si>
  <si>
    <t>Promedio Inasistente CELulas (%)</t>
  </si>
  <si>
    <t>form 2010</t>
  </si>
  <si>
    <t>Fecha</t>
  </si>
  <si>
    <t>N°Telefónico</t>
  </si>
  <si>
    <t>Estados</t>
  </si>
  <si>
    <t>HIPERVINCULO("https://wa.me/58" &amp; DERECHA(G23; 10); "+58" &amp; DERECHA(G23; 10))</t>
  </si>
  <si>
    <t>Hiperviculo what</t>
  </si>
  <si>
    <t>Yaskili Montilla</t>
  </si>
  <si>
    <t>Pastores Carlos Duarte y Génesis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</si>
  <si>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</si>
  <si>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</si>
  <si>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</si>
  <si>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</si>
  <si>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</si>
  <si>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</si>
  <si>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</si>
  <si>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</si>
  <si>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</si>
  <si>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</si>
  <si>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</si>
  <si>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</si>
  <si>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</si>
  <si>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</si>
  <si>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</si>
  <si>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</si>
  <si>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</si>
  <si>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</si>
  <si>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</si>
  <si>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Richerlis Benitez </t>
  </si>
  <si>
    <t>Deidelys Benitez</t>
  </si>
  <si>
    <t>REPORTE DE ASISTENCIA GENERAL CARABOBO</t>
  </si>
  <si>
    <t>Pastores Carlos Duarte y Génesis (ASISTENCIA A AMBOS)</t>
  </si>
  <si>
    <t>Yeris Paredes</t>
  </si>
  <si>
    <t>Ruth Hernández</t>
  </si>
  <si>
    <t>Margarita López</t>
  </si>
  <si>
    <t>Ernesto Espino</t>
  </si>
  <si>
    <t>Caty García</t>
  </si>
  <si>
    <t>Angélica López</t>
  </si>
  <si>
    <t>Desirée Hernández</t>
  </si>
  <si>
    <t>María Olivares</t>
  </si>
  <si>
    <t>Jackson López</t>
  </si>
  <si>
    <t>Dariannys Gutiérrez</t>
  </si>
  <si>
    <t>Angel Chacin</t>
  </si>
  <si>
    <t>Osmairy Ortega</t>
  </si>
  <si>
    <t>Luisaidy Semprun</t>
  </si>
  <si>
    <t>Luisandra Semprun</t>
  </si>
  <si>
    <t>Luisana semprun</t>
  </si>
  <si>
    <t>Lesvia Dávila</t>
  </si>
  <si>
    <t>Santiago morales</t>
  </si>
  <si>
    <t>Darwin Urdaneta</t>
  </si>
  <si>
    <t>Hilary peña</t>
  </si>
  <si>
    <t>Jesús peña</t>
  </si>
  <si>
    <t>Santiago Semprun</t>
  </si>
  <si>
    <t>Saúl Benítez</t>
  </si>
  <si>
    <t>Daniel Semprun</t>
  </si>
  <si>
    <t>Edixon semprun</t>
  </si>
  <si>
    <t>Lorianny Gutiérrez</t>
  </si>
  <si>
    <t>Luceli Semprun</t>
  </si>
  <si>
    <t>Yulexi Aguiar</t>
  </si>
  <si>
    <t>Jesus Hernández</t>
  </si>
  <si>
    <t>Nathaly Agresot</t>
  </si>
  <si>
    <t>Adriana Briceño</t>
  </si>
  <si>
    <t>Coromoto Agresot</t>
  </si>
  <si>
    <t>Victor Agresot</t>
  </si>
  <si>
    <t>Marcos Avendaño</t>
  </si>
  <si>
    <t>Hugo Araujo</t>
  </si>
  <si>
    <t>Erika Mendoza</t>
  </si>
  <si>
    <t>Marcimiliano Fernández</t>
  </si>
  <si>
    <t>Lesvia Rosales</t>
  </si>
  <si>
    <t>Elianny Graterol</t>
  </si>
  <si>
    <t>Yuelby Hernández</t>
  </si>
  <si>
    <t>Isaac González</t>
  </si>
  <si>
    <t xml:space="preserve">Santiago Agresot </t>
  </si>
  <si>
    <t xml:space="preserve">Jorge Luzardo </t>
  </si>
  <si>
    <t xml:space="preserve">Sharil Agresot </t>
  </si>
  <si>
    <t xml:space="preserve">Valeri Parra </t>
  </si>
  <si>
    <t>Yusleidy Aguiar</t>
  </si>
  <si>
    <t>José Araguayan</t>
  </si>
  <si>
    <t>José Hernández</t>
  </si>
  <si>
    <t>Deximar Medina</t>
  </si>
  <si>
    <t>Génesis Vielma</t>
  </si>
  <si>
    <t>Julia Finol</t>
  </si>
  <si>
    <t>Miguel Sarco</t>
  </si>
  <si>
    <t>Daniela Rodríguez</t>
  </si>
  <si>
    <t>Aizquel García</t>
  </si>
  <si>
    <t>Germany Ponce</t>
  </si>
  <si>
    <t>Ronaiker Aguiar</t>
  </si>
  <si>
    <t>Ogalys Aguar</t>
  </si>
  <si>
    <t>Yesiree Villalobos</t>
  </si>
  <si>
    <t>Flor Maria</t>
  </si>
  <si>
    <t>Alberto Faria</t>
  </si>
  <si>
    <t>Saidy Davila</t>
  </si>
  <si>
    <t>Rosa Ruiz</t>
  </si>
  <si>
    <t>Raul Ruiz</t>
  </si>
  <si>
    <t>Luis Rangel</t>
  </si>
  <si>
    <t>Deysi Puerta</t>
  </si>
  <si>
    <t>Desiree Hernández</t>
  </si>
  <si>
    <t>Génesis Montilla</t>
  </si>
  <si>
    <t>José Moncada</t>
  </si>
  <si>
    <t>PRINCIPIOS FINANCIEROS</t>
  </si>
  <si>
    <t>Javier Urdaneta</t>
  </si>
  <si>
    <t>Scarlett Bravo</t>
  </si>
  <si>
    <t>Royner Ruiz</t>
  </si>
  <si>
    <t>Scarly Duno</t>
  </si>
  <si>
    <t>Luis Guillermo Semprún</t>
  </si>
  <si>
    <t>MAIRELIS Rosales</t>
  </si>
  <si>
    <t>Reinaldo Pacheco</t>
  </si>
  <si>
    <t>Liliana Dávila</t>
  </si>
  <si>
    <t>Jordán Paredes</t>
  </si>
  <si>
    <t>lorianny pacheco</t>
  </si>
  <si>
    <t>Sofia Morales</t>
  </si>
  <si>
    <t>Yajaira Sánchez</t>
  </si>
  <si>
    <t>Dairis Pacheco</t>
  </si>
  <si>
    <t>loriannay Gutiérrez</t>
  </si>
  <si>
    <t>Hanna Rosales</t>
  </si>
  <si>
    <t>Sebastián peroso</t>
  </si>
  <si>
    <t>Edison Luzardo</t>
  </si>
  <si>
    <t>Merquiades Barboza</t>
  </si>
  <si>
    <t>Reinaldo Benítez</t>
  </si>
  <si>
    <t>Loreanny García</t>
  </si>
  <si>
    <t>Johangelis Araguayan</t>
  </si>
  <si>
    <t>Johandri Araguayan</t>
  </si>
  <si>
    <t>Johangel Araguayan</t>
  </si>
  <si>
    <t>Jesús Navarro</t>
  </si>
  <si>
    <t>Isaac Navarro</t>
  </si>
  <si>
    <t>Sofia Moreno</t>
  </si>
  <si>
    <t>Ada Luz Silva</t>
  </si>
  <si>
    <t>Gail Betancourt</t>
  </si>
  <si>
    <t>10-07-2026 A 16-08-2026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</si>
</sst>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9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8" fillId="0" borderId="1" xfId="0" applyFont="1" applyBorder="1"/>
    <xf numFmtId="0" fontId="6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2" fontId="3" fillId="9" borderId="1" xfId="0" applyNumberFormat="1" applyFont="1" applyFill="1" applyBorder="1" applyAlignment="1">
      <alignment horizontal="center" vertical="center"/>
    </xf>
    <xf numFmtId="2" fontId="9" fillId="9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0" xfId="0" applyFont="1"/>
    <xf numFmtId="0" fontId="13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2" fontId="11" fillId="0" borderId="12" xfId="0" applyNumberFormat="1" applyFont="1" applyFill="1" applyBorder="1" applyAlignment="1">
      <alignment vertical="center" wrapText="1"/>
    </xf>
    <xf numFmtId="0" fontId="8" fillId="0" borderId="0" xfId="0" applyFont="1" applyFill="1" applyBorder="1"/>
    <xf numFmtId="0" fontId="5" fillId="0" borderId="0" xfId="0" applyFont="1" applyFill="1" applyBorder="1"/>
    <xf numFmtId="0" fontId="1" fillId="0" borderId="0" xfId="0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8" borderId="0" xfId="0" applyFill="1"/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center" vertical="center"/>
    </xf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3" fillId="0" borderId="0" xfId="1" applyNumberFormat="1" applyAlignment="1">
      <alignment horizontal="center"/>
    </xf>
    <xf numFmtId="0" fontId="13" fillId="0" borderId="0" xfId="1"/>
    <xf numFmtId="0" fontId="20" fillId="0" borderId="0" xfId="0" applyFont="1"/>
    <xf numFmtId="1" fontId="0" fillId="0" borderId="0" xfId="0" applyNumberFormat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3" fillId="0" borderId="0" xfId="1" applyNumberForma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1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 wrapText="1"/>
    </xf>
    <xf numFmtId="0" fontId="0" fillId="11" borderId="1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7" fillId="7" borderId="1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1" applyAlignment="1">
      <alignment vertical="center" wrapText="1"/>
    </xf>
    <xf numFmtId="0" fontId="12" fillId="10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25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27</xdr:row>
      <xdr:rowOff>119063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334125" y="6500811"/>
          <a:ext cx="642937" cy="1202533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154780</xdr:colOff>
      <xdr:row>28</xdr:row>
      <xdr:rowOff>83344</xdr:rowOff>
    </xdr:from>
    <xdr:to>
      <xdr:col>7</xdr:col>
      <xdr:colOff>821531</xdr:colOff>
      <xdr:row>32</xdr:row>
      <xdr:rowOff>178594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322218" y="7858125"/>
          <a:ext cx="666751" cy="85725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142876</xdr:colOff>
      <xdr:row>33</xdr:row>
      <xdr:rowOff>119064</xdr:rowOff>
    </xdr:from>
    <xdr:to>
      <xdr:col>7</xdr:col>
      <xdr:colOff>821531</xdr:colOff>
      <xdr:row>39</xdr:row>
      <xdr:rowOff>154781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310314" y="8846345"/>
          <a:ext cx="678655" cy="117871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wa.me/584126558731" TargetMode="External"/><Relationship Id="rId7" Type="http://schemas.openxmlformats.org/officeDocument/2006/relationships/hyperlink" Target="https://wa.me/584127336868" TargetMode="External"/><Relationship Id="rId2" Type="http://schemas.openxmlformats.org/officeDocument/2006/relationships/hyperlink" Target="https://wa.me/584122838159" TargetMode="External"/><Relationship Id="rId1" Type="http://schemas.openxmlformats.org/officeDocument/2006/relationships/hyperlink" Target="https://wa.me/584126558931" TargetMode="External"/><Relationship Id="rId6" Type="http://schemas.openxmlformats.org/officeDocument/2006/relationships/hyperlink" Target="https://wa.me/584146521838" TargetMode="External"/><Relationship Id="rId11" Type="http://schemas.openxmlformats.org/officeDocument/2006/relationships/comments" Target="../comments1.xml"/><Relationship Id="rId5" Type="http://schemas.openxmlformats.org/officeDocument/2006/relationships/hyperlink" Target="https://wa.me/584246553570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wa.me/584126558731" TargetMode="External"/><Relationship Id="rId9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69"/>
  <sheetViews>
    <sheetView tabSelected="1" zoomScale="80" zoomScaleNormal="80" workbookViewId="0">
      <selection activeCell="A2" sqref="A2:G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98" t="s">
        <v>99</v>
      </c>
      <c r="B1" s="99"/>
      <c r="C1" s="99"/>
      <c r="D1" s="99"/>
      <c r="E1" s="99"/>
      <c r="F1" s="99"/>
      <c r="G1" s="100"/>
      <c r="N1" t="s">
        <v>62</v>
      </c>
      <c r="Q1" t="s">
        <v>70</v>
      </c>
    </row>
    <row r="2" spans="1:17" ht="15.75" x14ac:dyDescent="0.25">
      <c r="A2" s="101" t="s">
        <v>197</v>
      </c>
      <c r="B2" s="102"/>
      <c r="C2" s="102"/>
      <c r="D2" s="102"/>
      <c r="E2" s="102"/>
      <c r="F2" s="102"/>
      <c r="G2" s="103"/>
      <c r="H2" s="25"/>
      <c r="N2" s="26" t="str">
        <f ca="1">IF(AND(I2="NO",J2="NO"),IF(N2="",TODAY(),N2),"")</f>
        <v/>
      </c>
      <c r="Q2" s="50" t="str" cm="1">
        <f t="array" ref="Q2">IF(ISERROR(INDEX($B$72:$B$143, SMALL(IF(($C$72:$C$143="SI")*($D$72:$D$143="SI"), ROW($B$72:$B$143)-ROW(#REF!)+1), ROWS($A$1:A1)))), "", INDEX($B$72:$B$143, SMALL(IF(($C$72:$C$143="SI")*($D$72:$D$143="SI"), ROW($B$72:$B$143)-ROW(#REF!)+1), ROWS($A$1:A1))))</f>
        <v/>
      </c>
    </row>
    <row r="3" spans="1:17" x14ac:dyDescent="0.25">
      <c r="A3" s="106" t="s">
        <v>9</v>
      </c>
      <c r="B3" s="107"/>
      <c r="C3" s="110" t="s">
        <v>168</v>
      </c>
      <c r="D3" s="111"/>
      <c r="E3" s="111"/>
      <c r="F3" s="111"/>
      <c r="G3" s="112"/>
      <c r="Q3" t="s">
        <v>75</v>
      </c>
    </row>
    <row r="4" spans="1:17" x14ac:dyDescent="0.25">
      <c r="A4" s="108"/>
      <c r="B4" s="109"/>
      <c r="C4" s="113"/>
      <c r="D4" s="114"/>
      <c r="E4" s="114"/>
      <c r="F4" s="114"/>
      <c r="G4" s="115"/>
      <c r="Q4" s="56" t="s">
        <v>74</v>
      </c>
    </row>
    <row r="5" spans="1:17" ht="44.25" customHeight="1" x14ac:dyDescent="0.25">
      <c r="A5" s="92" t="s">
        <v>10</v>
      </c>
      <c r="B5" s="93"/>
      <c r="C5" s="90">
        <f>C145</f>
        <v>72</v>
      </c>
      <c r="D5" s="91"/>
      <c r="E5" s="13" t="s">
        <v>12</v>
      </c>
      <c r="F5" s="23">
        <f>C5/C19*100</f>
        <v>59.504132231404959</v>
      </c>
      <c r="G5" s="9" t="s">
        <v>66</v>
      </c>
      <c r="H5" s="34"/>
      <c r="J5" s="83" t="s">
        <v>64</v>
      </c>
      <c r="K5" s="83"/>
    </row>
    <row r="6" spans="1:17" ht="45.75" customHeight="1" x14ac:dyDescent="0.25">
      <c r="A6" s="92" t="s">
        <v>11</v>
      </c>
      <c r="B6" s="93"/>
      <c r="C6" s="104">
        <f>C146</f>
        <v>49</v>
      </c>
      <c r="D6" s="105"/>
      <c r="E6" s="7" t="s">
        <v>12</v>
      </c>
      <c r="F6" s="23">
        <f>C6/C19*100</f>
        <v>40.495867768595041</v>
      </c>
      <c r="G6" s="9" t="s">
        <v>67</v>
      </c>
      <c r="H6" s="34"/>
      <c r="I6" s="25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92" t="s">
        <v>13</v>
      </c>
      <c r="B8" s="93"/>
      <c r="C8" s="90">
        <f>C148</f>
        <v>21</v>
      </c>
      <c r="D8" s="91"/>
      <c r="E8" s="7" t="s">
        <v>12</v>
      </c>
      <c r="F8" s="23">
        <f>C8/C19*100</f>
        <v>17.355371900826448</v>
      </c>
      <c r="G8" s="9" t="s">
        <v>25</v>
      </c>
      <c r="J8" s="83" t="s">
        <v>65</v>
      </c>
      <c r="K8" s="83"/>
    </row>
    <row r="9" spans="1:17" ht="58.5" customHeight="1" x14ac:dyDescent="0.25">
      <c r="A9" s="92" t="s">
        <v>14</v>
      </c>
      <c r="B9" s="93"/>
      <c r="C9" s="104">
        <f>C149</f>
        <v>100</v>
      </c>
      <c r="D9" s="105"/>
      <c r="E9" s="7" t="s">
        <v>12</v>
      </c>
      <c r="F9" s="24">
        <f>C9/C19*100</f>
        <v>82.644628099173559</v>
      </c>
      <c r="G9" s="9" t="s">
        <v>26</v>
      </c>
      <c r="I9" s="25"/>
    </row>
    <row r="10" spans="1:17" ht="18" x14ac:dyDescent="0.25">
      <c r="A10" s="38"/>
      <c r="B10" s="38"/>
      <c r="C10" s="17"/>
      <c r="D10" s="17"/>
      <c r="E10" s="39"/>
      <c r="F10" s="40"/>
      <c r="G10" s="20"/>
      <c r="H10" s="28"/>
    </row>
    <row r="11" spans="1:17" ht="15" customHeight="1" x14ac:dyDescent="0.25">
      <c r="A11" s="84" t="s">
        <v>57</v>
      </c>
      <c r="B11" s="85"/>
      <c r="C11" s="88">
        <f>C151</f>
        <v>20</v>
      </c>
      <c r="D11" s="79" t="s">
        <v>12</v>
      </c>
      <c r="E11" s="77">
        <f>C11/C19*100</f>
        <v>16.528925619834713</v>
      </c>
      <c r="F11" s="94" t="s">
        <v>55</v>
      </c>
      <c r="G11" s="95"/>
      <c r="H11" s="28"/>
    </row>
    <row r="12" spans="1:17" x14ac:dyDescent="0.25">
      <c r="A12" s="86"/>
      <c r="B12" s="87"/>
      <c r="C12" s="89"/>
      <c r="D12" s="80"/>
      <c r="E12" s="78"/>
      <c r="F12" s="96"/>
      <c r="G12" s="97"/>
      <c r="H12" s="28"/>
      <c r="L12" s="53"/>
    </row>
    <row r="13" spans="1:17" ht="15" customHeight="1" x14ac:dyDescent="0.25">
      <c r="A13" s="84" t="s">
        <v>58</v>
      </c>
      <c r="B13" s="85"/>
      <c r="C13" s="88">
        <f>C153</f>
        <v>48</v>
      </c>
      <c r="D13" s="79" t="s">
        <v>12</v>
      </c>
      <c r="E13" s="77">
        <f>C13/C19*100</f>
        <v>39.669421487603309</v>
      </c>
      <c r="F13" s="94" t="s">
        <v>56</v>
      </c>
      <c r="G13" s="95"/>
      <c r="H13" s="28"/>
    </row>
    <row r="14" spans="1:17" ht="15" customHeight="1" x14ac:dyDescent="0.25">
      <c r="A14" s="86"/>
      <c r="B14" s="87"/>
      <c r="C14" s="89"/>
      <c r="D14" s="80"/>
      <c r="E14" s="78"/>
      <c r="F14" s="96"/>
      <c r="G14" s="97"/>
      <c r="H14" s="28"/>
    </row>
    <row r="15" spans="1:17" x14ac:dyDescent="0.25">
      <c r="A15" s="38"/>
      <c r="B15" s="38"/>
      <c r="C15" s="38"/>
      <c r="D15" s="38"/>
      <c r="E15" s="38"/>
      <c r="F15" s="38"/>
      <c r="G15" s="38"/>
      <c r="H15" s="38"/>
    </row>
    <row r="16" spans="1:17" ht="30" x14ac:dyDescent="0.25">
      <c r="A16" s="92" t="s">
        <v>32</v>
      </c>
      <c r="B16" s="93"/>
      <c r="C16" s="74">
        <f>COUNTIF(E23:E407,"NUEVO")</f>
        <v>0</v>
      </c>
      <c r="D16" s="75"/>
      <c r="E16" s="7" t="s">
        <v>12</v>
      </c>
      <c r="F16" s="10">
        <f>C16/C19*100</f>
        <v>0</v>
      </c>
      <c r="G16" s="22" t="s">
        <v>31</v>
      </c>
    </row>
    <row r="17" spans="1:10" ht="45" x14ac:dyDescent="0.25">
      <c r="A17" s="92" t="s">
        <v>33</v>
      </c>
      <c r="B17" s="93"/>
      <c r="C17" s="74">
        <f>COUNTIF(C23:C671,"NUEVO")</f>
        <v>0</v>
      </c>
      <c r="D17" s="75"/>
      <c r="E17" s="7" t="s">
        <v>12</v>
      </c>
      <c r="F17" s="10">
        <f>C17/C19*100</f>
        <v>0</v>
      </c>
      <c r="G17" s="22" t="s">
        <v>27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92" t="s">
        <v>24</v>
      </c>
      <c r="B19" s="93"/>
      <c r="C19" s="74">
        <f>A143</f>
        <v>121</v>
      </c>
      <c r="D19" s="75"/>
      <c r="E19" s="7" t="s">
        <v>12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16" t="s">
        <v>77</v>
      </c>
      <c r="B21" s="117"/>
      <c r="C21" s="117"/>
      <c r="D21" s="117"/>
      <c r="E21" s="118"/>
      <c r="G21" s="65"/>
      <c r="I21" s="68" t="s">
        <v>100</v>
      </c>
      <c r="J21" s="68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1" t="s">
        <v>71</v>
      </c>
      <c r="G22" s="11" t="s">
        <v>72</v>
      </c>
      <c r="I22" s="69"/>
      <c r="J22" s="69"/>
    </row>
    <row r="23" spans="1:10" x14ac:dyDescent="0.25">
      <c r="A23" s="60">
        <v>1</v>
      </c>
      <c r="B23" s="42" t="s">
        <v>96</v>
      </c>
      <c r="C23" s="14" t="s">
        <v>5</v>
      </c>
      <c r="D23" s="14" t="s">
        <v>5</v>
      </c>
      <c r="E23" s="12" t="s">
        <v>61</v>
      </c>
      <c r="F23" s="26" t="str">
        <f t="shared" ref="F23:F143" ca="1" si="0">IF(AND(C23="NO",D23="NO"),IF(F23="",TODAY(),F23),"")</f>
        <v/>
      </c>
      <c r="G23" s="62"/>
      <c r="H23" s="55"/>
      <c r="I23" s="4" t="str" cm="1">
        <f t="array" ref="I23:I42">_xlfn._xlws.FILTER(B23:B143,(C23:C143="SI")*(D23:D143="SI"),"")</f>
        <v xml:space="preserve">Carlos Duarte </v>
      </c>
    </row>
    <row r="24" spans="1:10" x14ac:dyDescent="0.25">
      <c r="A24" s="60">
        <v>2</v>
      </c>
      <c r="B24" s="42" t="s">
        <v>166</v>
      </c>
      <c r="C24" s="14" t="s">
        <v>5</v>
      </c>
      <c r="D24" s="14" t="s">
        <v>5</v>
      </c>
      <c r="E24" s="12" t="s">
        <v>61</v>
      </c>
      <c r="F24" s="26" t="str">
        <f t="shared" ca="1" si="0"/>
        <v/>
      </c>
      <c r="G24" s="62"/>
      <c r="H24" s="55"/>
      <c r="I24" t="str">
        <v>Génesis Montilla</v>
      </c>
    </row>
    <row r="25" spans="1:10" x14ac:dyDescent="0.25">
      <c r="A25" s="60">
        <v>3</v>
      </c>
      <c r="B25" s="42" t="s">
        <v>101</v>
      </c>
      <c r="C25" s="14" t="s">
        <v>5</v>
      </c>
      <c r="D25" s="14" t="s">
        <v>5</v>
      </c>
      <c r="E25" s="12" t="s">
        <v>8</v>
      </c>
      <c r="F25" s="26" t="str">
        <f t="shared" ref="F25:F71" ca="1" si="1">IF(AND(C25="NO",D25="NO"),IF(F25="",TODAY(),F25),"")</f>
        <v/>
      </c>
      <c r="G25" s="62"/>
      <c r="H25" s="55"/>
      <c r="I25" t="str">
        <v>Yeris Paredes</v>
      </c>
    </row>
    <row r="26" spans="1:10" x14ac:dyDescent="0.25">
      <c r="A26" s="60">
        <v>4</v>
      </c>
      <c r="B26" s="42" t="s">
        <v>102</v>
      </c>
      <c r="C26" s="14" t="s">
        <v>5</v>
      </c>
      <c r="D26" s="14" t="s">
        <v>5</v>
      </c>
      <c r="E26" s="12" t="s">
        <v>8</v>
      </c>
      <c r="F26" s="26" t="str">
        <f t="shared" ca="1" si="1"/>
        <v/>
      </c>
      <c r="G26" s="62"/>
      <c r="H26" s="55"/>
      <c r="I26" t="str">
        <v>Ruth Hernández</v>
      </c>
    </row>
    <row r="27" spans="1:10" x14ac:dyDescent="0.25">
      <c r="A27" s="60">
        <v>5</v>
      </c>
      <c r="B27" s="42" t="s">
        <v>103</v>
      </c>
      <c r="C27" s="14" t="s">
        <v>6</v>
      </c>
      <c r="D27" s="14" t="s">
        <v>6</v>
      </c>
      <c r="E27" s="12" t="s">
        <v>8</v>
      </c>
      <c r="F27" s="26">
        <f t="shared" ca="1" si="1"/>
        <v>46250</v>
      </c>
      <c r="G27" s="62"/>
      <c r="H27" s="55"/>
      <c r="I27" t="str">
        <v>Caty García</v>
      </c>
    </row>
    <row r="28" spans="1:10" x14ac:dyDescent="0.25">
      <c r="A28" s="60">
        <v>6</v>
      </c>
      <c r="B28" s="42" t="s">
        <v>104</v>
      </c>
      <c r="C28" s="14" t="s">
        <v>6</v>
      </c>
      <c r="D28" s="14" t="s">
        <v>6</v>
      </c>
      <c r="E28" s="12" t="s">
        <v>8</v>
      </c>
      <c r="F28" s="26">
        <f t="shared" ca="1" si="1"/>
        <v>46250</v>
      </c>
      <c r="G28" s="62"/>
      <c r="H28" s="55"/>
      <c r="I28" t="str">
        <v>Morela García</v>
      </c>
    </row>
    <row r="29" spans="1:10" x14ac:dyDescent="0.25">
      <c r="A29" s="60">
        <v>7</v>
      </c>
      <c r="B29" s="42" t="s">
        <v>105</v>
      </c>
      <c r="C29" s="14" t="s">
        <v>5</v>
      </c>
      <c r="D29" s="14" t="s">
        <v>5</v>
      </c>
      <c r="E29" s="12" t="s">
        <v>8</v>
      </c>
      <c r="F29" s="26" t="str">
        <f t="shared" ca="1" si="1"/>
        <v/>
      </c>
      <c r="G29" s="62"/>
      <c r="H29" s="55"/>
      <c r="I29" t="str">
        <v>Luisaidy Semprun</v>
      </c>
    </row>
    <row r="30" spans="1:10" x14ac:dyDescent="0.25">
      <c r="A30" s="60">
        <v>8</v>
      </c>
      <c r="B30" s="42" t="s">
        <v>78</v>
      </c>
      <c r="C30" s="14" t="s">
        <v>5</v>
      </c>
      <c r="D30" s="14" t="s">
        <v>5</v>
      </c>
      <c r="E30" s="12" t="s">
        <v>8</v>
      </c>
      <c r="F30" s="26" t="str">
        <f t="shared" ca="1" si="1"/>
        <v/>
      </c>
      <c r="G30" s="62"/>
      <c r="H30" s="55"/>
      <c r="I30" t="str">
        <v>Ada Luz Silva</v>
      </c>
    </row>
    <row r="31" spans="1:10" x14ac:dyDescent="0.25">
      <c r="A31" s="60">
        <v>9</v>
      </c>
      <c r="B31" s="42" t="s">
        <v>106</v>
      </c>
      <c r="C31" s="14" t="s">
        <v>6</v>
      </c>
      <c r="D31" s="14" t="s">
        <v>6</v>
      </c>
      <c r="E31" s="12" t="s">
        <v>8</v>
      </c>
      <c r="F31" s="26">
        <f t="shared" ca="1" si="1"/>
        <v>46250</v>
      </c>
      <c r="G31" s="62"/>
      <c r="H31" s="55"/>
      <c r="I31" t="str">
        <v>Hilary peña</v>
      </c>
    </row>
    <row r="32" spans="1:10" ht="21" x14ac:dyDescent="0.25">
      <c r="A32" s="60">
        <v>10</v>
      </c>
      <c r="B32" s="42" t="s">
        <v>107</v>
      </c>
      <c r="C32" s="14" t="s">
        <v>6</v>
      </c>
      <c r="D32" s="14" t="s">
        <v>6</v>
      </c>
      <c r="E32" s="12" t="s">
        <v>8</v>
      </c>
      <c r="F32" s="26">
        <f t="shared" ca="1" si="1"/>
        <v>46250</v>
      </c>
      <c r="G32" s="62"/>
      <c r="H32" s="55"/>
      <c r="I32" s="4" t="str">
        <v>Jesús peña</v>
      </c>
      <c r="J32" s="49">
        <f>C151</f>
        <v>20</v>
      </c>
    </row>
    <row r="33" spans="1:9" x14ac:dyDescent="0.25">
      <c r="A33" s="60">
        <v>11</v>
      </c>
      <c r="B33" s="42" t="s">
        <v>108</v>
      </c>
      <c r="C33" s="14" t="s">
        <v>6</v>
      </c>
      <c r="D33" s="14" t="s">
        <v>6</v>
      </c>
      <c r="E33" s="12" t="s">
        <v>8</v>
      </c>
      <c r="F33" s="26">
        <f t="shared" ca="1" si="1"/>
        <v>46250</v>
      </c>
      <c r="G33" s="62"/>
      <c r="H33" s="55"/>
      <c r="I33" t="str">
        <v>Adriana Briceño</v>
      </c>
    </row>
    <row r="34" spans="1:9" x14ac:dyDescent="0.25">
      <c r="A34" s="60">
        <v>12</v>
      </c>
      <c r="B34" s="42" t="s">
        <v>109</v>
      </c>
      <c r="C34" s="14" t="s">
        <v>6</v>
      </c>
      <c r="D34" s="14" t="s">
        <v>5</v>
      </c>
      <c r="E34" s="12" t="s">
        <v>30</v>
      </c>
      <c r="F34" s="26" t="str">
        <f t="shared" ca="1" si="1"/>
        <v/>
      </c>
      <c r="G34" s="62"/>
      <c r="H34" s="55"/>
      <c r="I34" t="str">
        <v>Erika Mendoza</v>
      </c>
    </row>
    <row r="35" spans="1:9" x14ac:dyDescent="0.25">
      <c r="A35" s="60">
        <v>13</v>
      </c>
      <c r="B35" s="42" t="s">
        <v>110</v>
      </c>
      <c r="C35" s="14" t="s">
        <v>6</v>
      </c>
      <c r="D35" s="14" t="s">
        <v>6</v>
      </c>
      <c r="E35" s="12" t="s">
        <v>21</v>
      </c>
      <c r="F35" s="26">
        <f t="shared" ca="1" si="1"/>
        <v>46250</v>
      </c>
      <c r="G35" s="62"/>
      <c r="H35" s="55"/>
      <c r="I35" t="str">
        <v xml:space="preserve">Jorge Luzardo </v>
      </c>
    </row>
    <row r="36" spans="1:9" x14ac:dyDescent="0.25">
      <c r="A36" s="60">
        <v>14</v>
      </c>
      <c r="B36" s="42" t="s">
        <v>111</v>
      </c>
      <c r="C36" s="14" t="s">
        <v>6</v>
      </c>
      <c r="D36" s="14" t="s">
        <v>6</v>
      </c>
      <c r="E36" s="12" t="s">
        <v>21</v>
      </c>
      <c r="F36" s="26">
        <f t="shared" ca="1" si="1"/>
        <v>46250</v>
      </c>
      <c r="G36" s="62"/>
      <c r="H36" s="55"/>
      <c r="I36" t="str">
        <v>Imly Finol</v>
      </c>
    </row>
    <row r="37" spans="1:9" x14ac:dyDescent="0.25">
      <c r="A37" s="60">
        <v>15</v>
      </c>
      <c r="B37" s="42" t="s">
        <v>112</v>
      </c>
      <c r="C37" s="14" t="s">
        <v>6</v>
      </c>
      <c r="D37" s="14" t="s">
        <v>6</v>
      </c>
      <c r="E37" s="12" t="s">
        <v>21</v>
      </c>
      <c r="F37" s="26">
        <f t="shared" ca="1" si="1"/>
        <v>46250</v>
      </c>
      <c r="G37" s="62"/>
      <c r="H37" s="55"/>
      <c r="I37" t="str">
        <v xml:space="preserve">Oscar Ciani </v>
      </c>
    </row>
    <row r="38" spans="1:9" x14ac:dyDescent="0.25">
      <c r="A38" s="60">
        <v>16</v>
      </c>
      <c r="B38" s="42" t="s">
        <v>93</v>
      </c>
      <c r="C38" s="14" t="s">
        <v>6</v>
      </c>
      <c r="D38" s="14" t="s">
        <v>6</v>
      </c>
      <c r="E38" s="12" t="s">
        <v>21</v>
      </c>
      <c r="F38" s="26">
        <f t="shared" ca="1" si="1"/>
        <v>46250</v>
      </c>
      <c r="G38" s="62"/>
      <c r="H38" s="55"/>
      <c r="I38" t="str">
        <v>Abraham Duarte</v>
      </c>
    </row>
    <row r="39" spans="1:9" x14ac:dyDescent="0.25">
      <c r="A39" s="60">
        <v>17</v>
      </c>
      <c r="B39" s="42" t="s">
        <v>113</v>
      </c>
      <c r="C39" s="14" t="s">
        <v>5</v>
      </c>
      <c r="D39" s="14" t="s">
        <v>5</v>
      </c>
      <c r="E39" s="12" t="s">
        <v>8</v>
      </c>
      <c r="F39" s="26" t="str">
        <f t="shared" ca="1" si="1"/>
        <v/>
      </c>
      <c r="G39" s="62"/>
      <c r="H39" s="55"/>
      <c r="I39" t="str">
        <v>Yurbelis Hernández</v>
      </c>
    </row>
    <row r="40" spans="1:9" x14ac:dyDescent="0.25">
      <c r="A40" s="60">
        <v>18</v>
      </c>
      <c r="B40" s="42" t="s">
        <v>114</v>
      </c>
      <c r="C40" s="14" t="s">
        <v>5</v>
      </c>
      <c r="D40" s="14" t="s">
        <v>6</v>
      </c>
      <c r="E40" s="12" t="s">
        <v>8</v>
      </c>
      <c r="F40" s="26" t="str">
        <f t="shared" ca="1" si="1"/>
        <v/>
      </c>
      <c r="G40" s="62"/>
      <c r="H40" s="55"/>
      <c r="I40" t="str">
        <v>José Moncada</v>
      </c>
    </row>
    <row r="41" spans="1:9" x14ac:dyDescent="0.25">
      <c r="A41" s="60">
        <v>19</v>
      </c>
      <c r="B41" s="42" t="s">
        <v>115</v>
      </c>
      <c r="C41" s="14" t="s">
        <v>5</v>
      </c>
      <c r="D41" s="14" t="s">
        <v>6</v>
      </c>
      <c r="E41" s="12" t="s">
        <v>8</v>
      </c>
      <c r="F41" s="26" t="str">
        <f t="shared" ca="1" si="1"/>
        <v/>
      </c>
      <c r="G41" s="62"/>
      <c r="H41" s="55"/>
      <c r="I41" t="str">
        <v>Javier Urdaneta</v>
      </c>
    </row>
    <row r="42" spans="1:9" x14ac:dyDescent="0.25">
      <c r="A42" s="60">
        <v>20</v>
      </c>
      <c r="B42" s="42" t="s">
        <v>116</v>
      </c>
      <c r="C42" s="14" t="s">
        <v>5</v>
      </c>
      <c r="D42" s="14" t="s">
        <v>6</v>
      </c>
      <c r="E42" s="12" t="s">
        <v>8</v>
      </c>
      <c r="F42" s="26" t="str">
        <f t="shared" ca="1" si="1"/>
        <v/>
      </c>
      <c r="G42" s="62"/>
      <c r="H42" s="55"/>
      <c r="I42" t="str">
        <v>Edison Luzardo</v>
      </c>
    </row>
    <row r="43" spans="1:9" x14ac:dyDescent="0.25">
      <c r="A43" s="60">
        <v>21</v>
      </c>
      <c r="B43" s="42" t="s">
        <v>195</v>
      </c>
      <c r="C43" s="14" t="s">
        <v>5</v>
      </c>
      <c r="D43" s="14" t="s">
        <v>5</v>
      </c>
      <c r="E43" s="12" t="s">
        <v>8</v>
      </c>
      <c r="F43" s="26" t="str">
        <f t="shared" ca="1" si="1"/>
        <v/>
      </c>
      <c r="G43" s="63">
        <v>584146521838</v>
      </c>
      <c r="H43" s="55"/>
    </row>
    <row r="44" spans="1:9" x14ac:dyDescent="0.25">
      <c r="A44" s="60">
        <v>22</v>
      </c>
      <c r="B44" s="42" t="s">
        <v>117</v>
      </c>
      <c r="C44" s="14" t="s">
        <v>6</v>
      </c>
      <c r="D44" s="14" t="s">
        <v>6</v>
      </c>
      <c r="E44" s="12" t="s">
        <v>8</v>
      </c>
      <c r="F44" s="26">
        <f t="shared" ca="1" si="1"/>
        <v>46250</v>
      </c>
      <c r="G44" s="62"/>
      <c r="H44" s="55"/>
    </row>
    <row r="45" spans="1:9" x14ac:dyDescent="0.25">
      <c r="A45" s="60">
        <v>23</v>
      </c>
      <c r="B45" s="42" t="s">
        <v>118</v>
      </c>
      <c r="C45" s="14" t="s">
        <v>5</v>
      </c>
      <c r="D45" s="14" t="s">
        <v>6</v>
      </c>
      <c r="E45" s="12" t="s">
        <v>8</v>
      </c>
      <c r="F45" s="26" t="str">
        <f t="shared" ca="1" si="1"/>
        <v/>
      </c>
      <c r="G45" s="62"/>
      <c r="H45" s="55"/>
    </row>
    <row r="46" spans="1:9" x14ac:dyDescent="0.25">
      <c r="A46" s="60">
        <v>24</v>
      </c>
      <c r="B46" s="42" t="s">
        <v>119</v>
      </c>
      <c r="C46" s="14" t="s">
        <v>5</v>
      </c>
      <c r="D46" s="14" t="s">
        <v>5</v>
      </c>
      <c r="E46" s="12" t="s">
        <v>8</v>
      </c>
      <c r="F46" s="26" t="str">
        <f t="shared" ca="1" si="1"/>
        <v/>
      </c>
      <c r="G46" s="62"/>
      <c r="H46" s="55"/>
    </row>
    <row r="47" spans="1:9" x14ac:dyDescent="0.25">
      <c r="A47" s="60">
        <v>25</v>
      </c>
      <c r="B47" s="42" t="s">
        <v>120</v>
      </c>
      <c r="C47" s="14" t="s">
        <v>5</v>
      </c>
      <c r="D47" s="14" t="s">
        <v>5</v>
      </c>
      <c r="E47" s="12" t="s">
        <v>21</v>
      </c>
      <c r="F47" s="26" t="str">
        <f t="shared" ca="1" si="1"/>
        <v/>
      </c>
      <c r="G47" s="62"/>
      <c r="H47" s="55"/>
    </row>
    <row r="48" spans="1:9" x14ac:dyDescent="0.25">
      <c r="A48" s="60">
        <v>26</v>
      </c>
      <c r="B48" s="42" t="s">
        <v>121</v>
      </c>
      <c r="C48" s="14" t="s">
        <v>5</v>
      </c>
      <c r="D48" s="14" t="s">
        <v>6</v>
      </c>
      <c r="E48" s="12" t="s">
        <v>21</v>
      </c>
      <c r="F48" s="26" t="str">
        <f t="shared" ca="1" si="1"/>
        <v/>
      </c>
      <c r="G48" s="62"/>
      <c r="H48" s="55"/>
    </row>
    <row r="49" spans="1:8" x14ac:dyDescent="0.25">
      <c r="A49" s="60">
        <v>27</v>
      </c>
      <c r="B49" s="42" t="s">
        <v>122</v>
      </c>
      <c r="C49" s="14" t="s">
        <v>5</v>
      </c>
      <c r="D49" s="14" t="s">
        <v>6</v>
      </c>
      <c r="E49" s="12" t="s">
        <v>21</v>
      </c>
      <c r="F49" s="26" t="str">
        <f t="shared" ca="1" si="1"/>
        <v/>
      </c>
      <c r="G49" s="62"/>
      <c r="H49" s="55"/>
    </row>
    <row r="50" spans="1:8" x14ac:dyDescent="0.25">
      <c r="A50" s="60">
        <v>28</v>
      </c>
      <c r="B50" s="42" t="s">
        <v>123</v>
      </c>
      <c r="C50" s="14" t="s">
        <v>5</v>
      </c>
      <c r="D50" s="14" t="s">
        <v>6</v>
      </c>
      <c r="E50" s="12" t="s">
        <v>21</v>
      </c>
      <c r="F50" s="26" t="str">
        <f t="shared" ca="1" si="1"/>
        <v/>
      </c>
      <c r="G50" s="62"/>
      <c r="H50" s="55"/>
    </row>
    <row r="51" spans="1:8" x14ac:dyDescent="0.25">
      <c r="A51" s="60">
        <v>29</v>
      </c>
      <c r="B51" s="42" t="s">
        <v>124</v>
      </c>
      <c r="C51" s="14" t="s">
        <v>5</v>
      </c>
      <c r="D51" s="14" t="s">
        <v>6</v>
      </c>
      <c r="E51" s="12" t="s">
        <v>21</v>
      </c>
      <c r="F51" s="26" t="str">
        <f t="shared" ca="1" si="1"/>
        <v/>
      </c>
      <c r="G51" s="62"/>
      <c r="H51" s="55"/>
    </row>
    <row r="52" spans="1:8" x14ac:dyDescent="0.25">
      <c r="A52" s="60">
        <v>30</v>
      </c>
      <c r="B52" s="42" t="s">
        <v>125</v>
      </c>
      <c r="C52" s="14" t="s">
        <v>5</v>
      </c>
      <c r="D52" s="14" t="s">
        <v>6</v>
      </c>
      <c r="E52" s="12" t="s">
        <v>21</v>
      </c>
      <c r="F52" s="26" t="str">
        <f t="shared" ca="1" si="1"/>
        <v/>
      </c>
      <c r="G52" s="62"/>
      <c r="H52" s="55"/>
    </row>
    <row r="53" spans="1:8" x14ac:dyDescent="0.25">
      <c r="A53" s="60">
        <v>31</v>
      </c>
      <c r="B53" s="42" t="s">
        <v>126</v>
      </c>
      <c r="C53" s="14" t="s">
        <v>5</v>
      </c>
      <c r="D53" s="14" t="s">
        <v>6</v>
      </c>
      <c r="E53" s="12" t="s">
        <v>21</v>
      </c>
      <c r="F53" s="26" t="str">
        <f t="shared" ca="1" si="1"/>
        <v/>
      </c>
      <c r="G53" s="62"/>
      <c r="H53" s="55"/>
    </row>
    <row r="54" spans="1:8" x14ac:dyDescent="0.25">
      <c r="A54" s="60">
        <v>32</v>
      </c>
      <c r="B54" s="42" t="s">
        <v>127</v>
      </c>
      <c r="C54" s="14" t="s">
        <v>6</v>
      </c>
      <c r="D54" s="14" t="s">
        <v>6</v>
      </c>
      <c r="E54" s="12" t="s">
        <v>8</v>
      </c>
      <c r="F54" s="26">
        <f t="shared" ca="1" si="1"/>
        <v>46250</v>
      </c>
      <c r="G54" s="62"/>
      <c r="H54" s="55"/>
    </row>
    <row r="55" spans="1:8" x14ac:dyDescent="0.25">
      <c r="A55" s="60">
        <v>33</v>
      </c>
      <c r="B55" s="42" t="s">
        <v>128</v>
      </c>
      <c r="C55" s="14" t="s">
        <v>5</v>
      </c>
      <c r="D55" s="14" t="s">
        <v>6</v>
      </c>
      <c r="E55" s="12" t="s">
        <v>8</v>
      </c>
      <c r="F55" s="26" t="str">
        <f t="shared" ca="1" si="1"/>
        <v/>
      </c>
      <c r="G55" s="62"/>
      <c r="H55" s="55"/>
    </row>
    <row r="56" spans="1:8" x14ac:dyDescent="0.25">
      <c r="A56" s="60">
        <v>34</v>
      </c>
      <c r="B56" s="42" t="s">
        <v>129</v>
      </c>
      <c r="C56" s="14" t="s">
        <v>5</v>
      </c>
      <c r="D56" s="14" t="s">
        <v>6</v>
      </c>
      <c r="E56" s="12" t="s">
        <v>8</v>
      </c>
      <c r="F56" s="26" t="str">
        <f t="shared" ca="1" si="1"/>
        <v/>
      </c>
      <c r="G56" s="62"/>
      <c r="H56" s="55"/>
    </row>
    <row r="57" spans="1:8" x14ac:dyDescent="0.25">
      <c r="A57" s="60">
        <v>35</v>
      </c>
      <c r="B57" s="42" t="s">
        <v>130</v>
      </c>
      <c r="C57" s="14" t="s">
        <v>5</v>
      </c>
      <c r="D57" s="14" t="s">
        <v>5</v>
      </c>
      <c r="E57" s="12" t="s">
        <v>8</v>
      </c>
      <c r="F57" s="26" t="str">
        <f t="shared" ca="1" si="1"/>
        <v/>
      </c>
      <c r="G57" s="62"/>
      <c r="H57" s="55"/>
    </row>
    <row r="58" spans="1:8" x14ac:dyDescent="0.25">
      <c r="A58" s="60">
        <v>36</v>
      </c>
      <c r="B58" s="42" t="s">
        <v>131</v>
      </c>
      <c r="C58" s="14" t="s">
        <v>5</v>
      </c>
      <c r="D58" s="14" t="s">
        <v>6</v>
      </c>
      <c r="E58" s="12" t="s">
        <v>8</v>
      </c>
      <c r="F58" s="26" t="str">
        <f t="shared" ca="1" si="1"/>
        <v/>
      </c>
      <c r="G58" s="62"/>
      <c r="H58" s="55"/>
    </row>
    <row r="59" spans="1:8" x14ac:dyDescent="0.25">
      <c r="A59" s="60">
        <v>37</v>
      </c>
      <c r="B59" s="42" t="s">
        <v>132</v>
      </c>
      <c r="C59" s="14" t="s">
        <v>5</v>
      </c>
      <c r="D59" s="14" t="s">
        <v>6</v>
      </c>
      <c r="E59" s="12" t="s">
        <v>8</v>
      </c>
      <c r="F59" s="26" t="str">
        <f t="shared" ca="1" si="1"/>
        <v/>
      </c>
      <c r="G59" s="62"/>
      <c r="H59" s="55"/>
    </row>
    <row r="60" spans="1:8" x14ac:dyDescent="0.25">
      <c r="A60" s="60">
        <v>38</v>
      </c>
      <c r="B60" s="42" t="s">
        <v>133</v>
      </c>
      <c r="C60" s="14" t="s">
        <v>5</v>
      </c>
      <c r="D60" s="14" t="s">
        <v>6</v>
      </c>
      <c r="E60" s="12" t="s">
        <v>8</v>
      </c>
      <c r="F60" s="26" t="str">
        <f t="shared" ca="1" si="1"/>
        <v/>
      </c>
      <c r="G60" s="62"/>
      <c r="H60" s="55"/>
    </row>
    <row r="61" spans="1:8" x14ac:dyDescent="0.25">
      <c r="A61" s="60">
        <v>39</v>
      </c>
      <c r="B61" s="42" t="s">
        <v>134</v>
      </c>
      <c r="C61" s="14" t="s">
        <v>6</v>
      </c>
      <c r="D61" s="14" t="s">
        <v>6</v>
      </c>
      <c r="E61" s="12" t="s">
        <v>8</v>
      </c>
      <c r="F61" s="26">
        <f t="shared" ca="1" si="1"/>
        <v>46250</v>
      </c>
      <c r="G61" s="62"/>
      <c r="H61" s="55"/>
    </row>
    <row r="62" spans="1:8" x14ac:dyDescent="0.25">
      <c r="A62" s="60">
        <v>40</v>
      </c>
      <c r="B62" s="42" t="s">
        <v>135</v>
      </c>
      <c r="C62" s="14" t="s">
        <v>5</v>
      </c>
      <c r="D62" s="14" t="s">
        <v>5</v>
      </c>
      <c r="E62" s="12" t="s">
        <v>8</v>
      </c>
      <c r="F62" s="26" t="str">
        <f t="shared" ca="1" si="1"/>
        <v/>
      </c>
      <c r="G62" s="63">
        <v>584127336868</v>
      </c>
      <c r="H62" s="55"/>
    </row>
    <row r="63" spans="1:8" x14ac:dyDescent="0.25">
      <c r="A63" s="60">
        <v>41</v>
      </c>
      <c r="B63" s="42" t="s">
        <v>136</v>
      </c>
      <c r="C63" s="14" t="s">
        <v>6</v>
      </c>
      <c r="D63" s="14" t="s">
        <v>6</v>
      </c>
      <c r="E63" s="12" t="s">
        <v>8</v>
      </c>
      <c r="F63" s="26">
        <f t="shared" ca="1" si="1"/>
        <v>46250</v>
      </c>
      <c r="G63" s="62"/>
      <c r="H63" s="55"/>
    </row>
    <row r="64" spans="1:8" x14ac:dyDescent="0.25">
      <c r="A64" s="60">
        <v>42</v>
      </c>
      <c r="B64" s="42" t="s">
        <v>174</v>
      </c>
      <c r="C64" s="14" t="s">
        <v>5</v>
      </c>
      <c r="D64" s="14" t="s">
        <v>6</v>
      </c>
      <c r="E64" s="12" t="s">
        <v>8</v>
      </c>
      <c r="F64" s="26" t="str">
        <f t="shared" ca="1" si="1"/>
        <v/>
      </c>
      <c r="G64" s="62"/>
      <c r="H64" s="55"/>
    </row>
    <row r="65" spans="1:10" x14ac:dyDescent="0.25">
      <c r="A65" s="60">
        <v>43</v>
      </c>
      <c r="B65" s="42" t="s">
        <v>138</v>
      </c>
      <c r="C65" s="14" t="s">
        <v>6</v>
      </c>
      <c r="D65" s="14" t="s">
        <v>6</v>
      </c>
      <c r="E65" s="12" t="s">
        <v>8</v>
      </c>
      <c r="F65" s="26">
        <f t="shared" ca="1" si="1"/>
        <v>46242</v>
      </c>
      <c r="G65" s="62"/>
      <c r="H65" s="55"/>
    </row>
    <row r="66" spans="1:10" x14ac:dyDescent="0.25">
      <c r="A66" s="60">
        <v>44</v>
      </c>
      <c r="B66" s="42" t="s">
        <v>139</v>
      </c>
      <c r="C66" s="14" t="s">
        <v>5</v>
      </c>
      <c r="D66" s="14" t="s">
        <v>6</v>
      </c>
      <c r="E66" s="12" t="s">
        <v>21</v>
      </c>
      <c r="F66" s="26" t="str">
        <f t="shared" ca="1" si="1"/>
        <v/>
      </c>
      <c r="G66" s="62"/>
      <c r="H66" s="55"/>
    </row>
    <row r="67" spans="1:10" x14ac:dyDescent="0.25">
      <c r="A67" s="60">
        <v>45</v>
      </c>
      <c r="B67" s="42" t="s">
        <v>144</v>
      </c>
      <c r="C67" s="14" t="s">
        <v>6</v>
      </c>
      <c r="D67" s="14" t="s">
        <v>6</v>
      </c>
      <c r="E67" s="12" t="s">
        <v>21</v>
      </c>
      <c r="F67" s="26">
        <f t="shared" ca="1" si="1"/>
        <v>46250</v>
      </c>
      <c r="G67" s="62"/>
      <c r="H67" s="55"/>
    </row>
    <row r="68" spans="1:10" x14ac:dyDescent="0.25">
      <c r="A68" s="60">
        <v>46</v>
      </c>
      <c r="B68" s="42" t="s">
        <v>143</v>
      </c>
      <c r="C68" s="14" t="s">
        <v>5</v>
      </c>
      <c r="D68" s="14" t="s">
        <v>6</v>
      </c>
      <c r="E68" s="12" t="s">
        <v>21</v>
      </c>
      <c r="F68" s="26" t="str">
        <f t="shared" ca="1" si="1"/>
        <v/>
      </c>
      <c r="G68" s="62"/>
      <c r="H68" s="55"/>
    </row>
    <row r="69" spans="1:10" x14ac:dyDescent="0.25">
      <c r="A69" s="60">
        <v>47</v>
      </c>
      <c r="B69" s="42" t="s">
        <v>142</v>
      </c>
      <c r="C69" s="14" t="s">
        <v>5</v>
      </c>
      <c r="D69" s="14" t="s">
        <v>5</v>
      </c>
      <c r="E69" s="12" t="s">
        <v>21</v>
      </c>
      <c r="F69" s="26" t="str">
        <f t="shared" ca="1" si="1"/>
        <v/>
      </c>
      <c r="G69" s="62"/>
      <c r="H69" s="55"/>
    </row>
    <row r="70" spans="1:10" x14ac:dyDescent="0.25">
      <c r="A70" s="60">
        <v>48</v>
      </c>
      <c r="B70" s="42" t="s">
        <v>141</v>
      </c>
      <c r="C70" s="14" t="s">
        <v>5</v>
      </c>
      <c r="D70" s="14" t="s">
        <v>6</v>
      </c>
      <c r="E70" s="12" t="s">
        <v>21</v>
      </c>
      <c r="F70" s="26" t="str">
        <f t="shared" ca="1" si="1"/>
        <v/>
      </c>
      <c r="G70" s="62"/>
      <c r="H70" s="55"/>
    </row>
    <row r="71" spans="1:10" x14ac:dyDescent="0.25">
      <c r="A71" s="60">
        <v>49</v>
      </c>
      <c r="B71" s="42" t="s">
        <v>140</v>
      </c>
      <c r="C71" s="14" t="s">
        <v>6</v>
      </c>
      <c r="D71" s="14" t="s">
        <v>6</v>
      </c>
      <c r="E71" s="12" t="s">
        <v>21</v>
      </c>
      <c r="F71" s="26">
        <f t="shared" ca="1" si="1"/>
        <v>46250</v>
      </c>
      <c r="G71" s="62"/>
      <c r="H71" s="55"/>
    </row>
    <row r="72" spans="1:10" ht="15" customHeight="1" x14ac:dyDescent="0.25">
      <c r="A72" s="60">
        <v>50</v>
      </c>
      <c r="B72" s="42" t="s">
        <v>79</v>
      </c>
      <c r="C72" s="14" t="s">
        <v>6</v>
      </c>
      <c r="D72" s="14" t="s">
        <v>6</v>
      </c>
      <c r="E72" s="12" t="s">
        <v>30</v>
      </c>
      <c r="F72" s="26">
        <f t="shared" ca="1" si="0"/>
        <v>46242</v>
      </c>
      <c r="G72" s="62"/>
      <c r="I72" s="4"/>
      <c r="J72" s="4"/>
    </row>
    <row r="73" spans="1:10" x14ac:dyDescent="0.25">
      <c r="A73" s="60">
        <v>51</v>
      </c>
      <c r="B73" s="42" t="s">
        <v>80</v>
      </c>
      <c r="C73" s="14" t="s">
        <v>5</v>
      </c>
      <c r="D73" s="14" t="s">
        <v>6</v>
      </c>
      <c r="E73" s="12" t="s">
        <v>30</v>
      </c>
      <c r="F73" s="26" t="str">
        <f t="shared" ca="1" si="0"/>
        <v/>
      </c>
      <c r="G73" s="62"/>
      <c r="I73" s="4"/>
      <c r="J73" s="4"/>
    </row>
    <row r="74" spans="1:10" x14ac:dyDescent="0.25">
      <c r="A74" s="60">
        <v>52</v>
      </c>
      <c r="B74" s="42" t="s">
        <v>81</v>
      </c>
      <c r="C74" s="14" t="s">
        <v>5</v>
      </c>
      <c r="D74" s="14" t="s">
        <v>5</v>
      </c>
      <c r="E74" s="12" t="s">
        <v>30</v>
      </c>
      <c r="F74" s="26" t="str">
        <f t="shared" ca="1" si="0"/>
        <v/>
      </c>
      <c r="G74" s="62"/>
      <c r="I74" s="4"/>
      <c r="J74" s="4"/>
    </row>
    <row r="75" spans="1:10" x14ac:dyDescent="0.25">
      <c r="A75" s="60">
        <v>53</v>
      </c>
      <c r="B75" s="42" t="s">
        <v>82</v>
      </c>
      <c r="C75" s="14" t="s">
        <v>5</v>
      </c>
      <c r="D75" s="14" t="s">
        <v>5</v>
      </c>
      <c r="E75" s="12" t="s">
        <v>30</v>
      </c>
      <c r="F75" s="26" t="str">
        <f t="shared" ca="1" si="0"/>
        <v/>
      </c>
      <c r="G75" s="62"/>
      <c r="I75" s="4"/>
      <c r="J75" s="4"/>
    </row>
    <row r="76" spans="1:10" x14ac:dyDescent="0.25">
      <c r="A76" s="60">
        <v>54</v>
      </c>
      <c r="B76" s="42" t="s">
        <v>83</v>
      </c>
      <c r="C76" s="14" t="s">
        <v>5</v>
      </c>
      <c r="D76" s="14" t="s">
        <v>6</v>
      </c>
      <c r="E76" s="12" t="s">
        <v>30</v>
      </c>
      <c r="F76" s="26" t="str">
        <f t="shared" ca="1" si="0"/>
        <v/>
      </c>
      <c r="G76" s="63">
        <v>584122838159</v>
      </c>
      <c r="I76" s="4"/>
      <c r="J76" s="4"/>
    </row>
    <row r="77" spans="1:10" ht="15" customHeight="1" x14ac:dyDescent="0.25">
      <c r="A77" s="60">
        <v>55</v>
      </c>
      <c r="B77" s="61" t="s">
        <v>88</v>
      </c>
      <c r="C77" s="14" t="s">
        <v>6</v>
      </c>
      <c r="D77" s="14" t="s">
        <v>6</v>
      </c>
      <c r="E77" s="12" t="s">
        <v>21</v>
      </c>
      <c r="F77" s="26">
        <f t="shared" ca="1" si="0"/>
        <v>46242</v>
      </c>
      <c r="G77" s="62"/>
    </row>
    <row r="78" spans="1:10" x14ac:dyDescent="0.25">
      <c r="A78" s="60">
        <v>56</v>
      </c>
      <c r="B78" s="61" t="s">
        <v>89</v>
      </c>
      <c r="C78" s="14" t="s">
        <v>6</v>
      </c>
      <c r="D78" s="14" t="s">
        <v>6</v>
      </c>
      <c r="E78" s="12" t="s">
        <v>21</v>
      </c>
      <c r="F78" s="26">
        <f t="shared" ca="1" si="0"/>
        <v>46242</v>
      </c>
      <c r="G78" s="62"/>
      <c r="I78" s="4"/>
      <c r="J78" s="4"/>
    </row>
    <row r="79" spans="1:10" x14ac:dyDescent="0.25">
      <c r="A79" s="60">
        <v>57</v>
      </c>
      <c r="B79" s="61" t="s">
        <v>84</v>
      </c>
      <c r="C79" s="14" t="s">
        <v>6</v>
      </c>
      <c r="D79" s="14" t="s">
        <v>6</v>
      </c>
      <c r="E79" s="12" t="s">
        <v>21</v>
      </c>
      <c r="F79" s="26">
        <f t="shared" ca="1" si="0"/>
        <v>46242</v>
      </c>
      <c r="G79" s="62"/>
    </row>
    <row r="80" spans="1:10" ht="15.75" customHeight="1" x14ac:dyDescent="0.25">
      <c r="A80" s="60">
        <v>58</v>
      </c>
      <c r="B80" s="61" t="s">
        <v>90</v>
      </c>
      <c r="C80" s="14" t="s">
        <v>5</v>
      </c>
      <c r="D80" s="14" t="s">
        <v>5</v>
      </c>
      <c r="E80" s="12" t="s">
        <v>21</v>
      </c>
      <c r="F80" s="26" t="str">
        <f t="shared" ca="1" si="0"/>
        <v/>
      </c>
      <c r="G80" s="62"/>
      <c r="I80" s="4"/>
      <c r="J80" s="4"/>
    </row>
    <row r="81" spans="1:10" ht="15" customHeight="1" x14ac:dyDescent="0.25">
      <c r="A81" s="60">
        <v>59</v>
      </c>
      <c r="B81" s="61" t="s">
        <v>91</v>
      </c>
      <c r="C81" s="14" t="s">
        <v>5</v>
      </c>
      <c r="D81" s="14" t="s">
        <v>5</v>
      </c>
      <c r="E81" s="12" t="s">
        <v>21</v>
      </c>
      <c r="F81" s="26" t="str">
        <f t="shared" ca="1" si="0"/>
        <v/>
      </c>
      <c r="G81" s="62"/>
      <c r="I81" s="4"/>
      <c r="J81" s="4"/>
    </row>
    <row r="82" spans="1:10" ht="15" customHeight="1" x14ac:dyDescent="0.25">
      <c r="A82" s="60">
        <v>60</v>
      </c>
      <c r="B82" s="61" t="s">
        <v>85</v>
      </c>
      <c r="C82" s="14" t="s">
        <v>6</v>
      </c>
      <c r="D82" s="14" t="s">
        <v>6</v>
      </c>
      <c r="E82" s="12" t="s">
        <v>21</v>
      </c>
      <c r="F82" s="26">
        <f t="shared" ca="1" si="0"/>
        <v>46242</v>
      </c>
      <c r="G82" s="62"/>
    </row>
    <row r="83" spans="1:10" x14ac:dyDescent="0.25">
      <c r="A83" s="60">
        <v>61</v>
      </c>
      <c r="B83" s="61" t="s">
        <v>92</v>
      </c>
      <c r="C83" s="14" t="s">
        <v>6</v>
      </c>
      <c r="D83" s="14" t="s">
        <v>6</v>
      </c>
      <c r="E83" s="12" t="s">
        <v>21</v>
      </c>
      <c r="F83" s="26">
        <f t="shared" ca="1" si="0"/>
        <v>46242</v>
      </c>
      <c r="G83" s="62"/>
    </row>
    <row r="84" spans="1:10" ht="15" customHeight="1" x14ac:dyDescent="0.25">
      <c r="A84" s="60">
        <v>62</v>
      </c>
      <c r="B84" s="61" t="s">
        <v>86</v>
      </c>
      <c r="C84" s="14" t="s">
        <v>6</v>
      </c>
      <c r="D84" s="14" t="s">
        <v>6</v>
      </c>
      <c r="E84" s="12" t="s">
        <v>21</v>
      </c>
      <c r="F84" s="26">
        <f t="shared" ca="1" si="0"/>
        <v>46242</v>
      </c>
      <c r="G84" s="62"/>
    </row>
    <row r="85" spans="1:10" x14ac:dyDescent="0.25">
      <c r="A85" s="60">
        <v>63</v>
      </c>
      <c r="B85" s="61" t="s">
        <v>93</v>
      </c>
      <c r="C85" s="14" t="s">
        <v>6</v>
      </c>
      <c r="D85" s="14" t="s">
        <v>6</v>
      </c>
      <c r="E85" s="12" t="s">
        <v>21</v>
      </c>
      <c r="F85" s="26">
        <f t="shared" ca="1" si="0"/>
        <v>46242</v>
      </c>
      <c r="G85" s="62"/>
    </row>
    <row r="86" spans="1:10" x14ac:dyDescent="0.25">
      <c r="A86" s="60">
        <v>64</v>
      </c>
      <c r="B86" s="61" t="s">
        <v>94</v>
      </c>
      <c r="C86" s="14" t="s">
        <v>6</v>
      </c>
      <c r="D86" s="14" t="s">
        <v>6</v>
      </c>
      <c r="E86" s="12" t="s">
        <v>21</v>
      </c>
      <c r="F86" s="26">
        <f t="shared" ca="1" si="0"/>
        <v>46242</v>
      </c>
      <c r="G86" s="62"/>
    </row>
    <row r="87" spans="1:10" x14ac:dyDescent="0.25">
      <c r="A87" s="60">
        <v>65</v>
      </c>
      <c r="B87" s="61" t="s">
        <v>95</v>
      </c>
      <c r="C87" s="14" t="s">
        <v>5</v>
      </c>
      <c r="D87" s="14" t="s">
        <v>6</v>
      </c>
      <c r="E87" s="12" t="s">
        <v>21</v>
      </c>
      <c r="F87" s="26" t="str">
        <f t="shared" ca="1" si="0"/>
        <v/>
      </c>
      <c r="G87" s="64"/>
    </row>
    <row r="88" spans="1:10" x14ac:dyDescent="0.25">
      <c r="A88" s="60">
        <v>66</v>
      </c>
      <c r="B88" s="61" t="s">
        <v>145</v>
      </c>
      <c r="C88" s="14" t="s">
        <v>5</v>
      </c>
      <c r="D88" s="14" t="s">
        <v>6</v>
      </c>
      <c r="E88" s="12" t="s">
        <v>8</v>
      </c>
      <c r="F88" s="26" t="str">
        <f t="shared" ca="1" si="0"/>
        <v/>
      </c>
      <c r="G88" s="64"/>
    </row>
    <row r="89" spans="1:10" x14ac:dyDescent="0.25">
      <c r="A89" s="60">
        <v>67</v>
      </c>
      <c r="B89" s="61" t="s">
        <v>146</v>
      </c>
      <c r="C89" s="14" t="s">
        <v>6</v>
      </c>
      <c r="D89" s="14" t="s">
        <v>6</v>
      </c>
      <c r="E89" s="12" t="s">
        <v>8</v>
      </c>
      <c r="F89" s="26">
        <f t="shared" ca="1" si="0"/>
        <v>46242</v>
      </c>
      <c r="G89" s="64"/>
    </row>
    <row r="90" spans="1:10" x14ac:dyDescent="0.25">
      <c r="A90" s="60">
        <v>68</v>
      </c>
      <c r="B90" s="61" t="s">
        <v>147</v>
      </c>
      <c r="C90" s="14" t="s">
        <v>6</v>
      </c>
      <c r="D90" s="14" t="s">
        <v>6</v>
      </c>
      <c r="E90" s="12" t="s">
        <v>8</v>
      </c>
      <c r="F90" s="26">
        <f t="shared" ca="1" si="0"/>
        <v>46242</v>
      </c>
      <c r="G90" s="64"/>
    </row>
    <row r="91" spans="1:10" x14ac:dyDescent="0.25">
      <c r="A91" s="60">
        <v>69</v>
      </c>
      <c r="B91" s="61" t="s">
        <v>148</v>
      </c>
      <c r="C91" s="14" t="s">
        <v>6</v>
      </c>
      <c r="D91" s="14" t="s">
        <v>6</v>
      </c>
      <c r="E91" s="12" t="s">
        <v>8</v>
      </c>
      <c r="F91" s="26">
        <f t="shared" ca="1" si="0"/>
        <v>46242</v>
      </c>
      <c r="G91" s="64"/>
    </row>
    <row r="92" spans="1:10" x14ac:dyDescent="0.25">
      <c r="A92" s="60">
        <v>70</v>
      </c>
      <c r="B92" s="61" t="s">
        <v>149</v>
      </c>
      <c r="C92" s="14" t="s">
        <v>5</v>
      </c>
      <c r="D92" s="14" t="s">
        <v>6</v>
      </c>
      <c r="E92" s="12" t="s">
        <v>8</v>
      </c>
      <c r="F92" s="26" t="str">
        <f t="shared" ca="1" si="0"/>
        <v/>
      </c>
      <c r="G92" s="64"/>
    </row>
    <row r="93" spans="1:10" x14ac:dyDescent="0.25">
      <c r="A93" s="60">
        <v>71</v>
      </c>
      <c r="B93" s="61" t="s">
        <v>60</v>
      </c>
      <c r="C93" s="14" t="s">
        <v>5</v>
      </c>
      <c r="D93" s="14" t="s">
        <v>6</v>
      </c>
      <c r="E93" s="12" t="s">
        <v>8</v>
      </c>
      <c r="F93" s="26" t="str">
        <f t="shared" ca="1" si="0"/>
        <v/>
      </c>
      <c r="G93" s="64"/>
    </row>
    <row r="94" spans="1:10" x14ac:dyDescent="0.25">
      <c r="A94" s="60">
        <v>72</v>
      </c>
      <c r="B94" s="61" t="s">
        <v>22</v>
      </c>
      <c r="C94" s="14" t="s">
        <v>6</v>
      </c>
      <c r="D94" s="14" t="s">
        <v>6</v>
      </c>
      <c r="E94" s="12" t="s">
        <v>8</v>
      </c>
      <c r="F94" s="26">
        <f t="shared" ca="1" si="0"/>
        <v>46242</v>
      </c>
      <c r="G94" s="64"/>
    </row>
    <row r="95" spans="1:10" x14ac:dyDescent="0.25">
      <c r="A95" s="60">
        <v>73</v>
      </c>
      <c r="B95" s="61" t="s">
        <v>150</v>
      </c>
      <c r="C95" s="14" t="s">
        <v>6</v>
      </c>
      <c r="D95" s="14" t="s">
        <v>6</v>
      </c>
      <c r="E95" s="12" t="s">
        <v>8</v>
      </c>
      <c r="F95" s="26">
        <f t="shared" ca="1" si="0"/>
        <v>46242</v>
      </c>
      <c r="G95" s="64"/>
    </row>
    <row r="96" spans="1:10" x14ac:dyDescent="0.25">
      <c r="A96" s="60">
        <v>74</v>
      </c>
      <c r="B96" s="61" t="s">
        <v>151</v>
      </c>
      <c r="C96" s="14" t="s">
        <v>6</v>
      </c>
      <c r="D96" s="14" t="s">
        <v>6</v>
      </c>
      <c r="E96" s="12" t="s">
        <v>8</v>
      </c>
      <c r="F96" s="26">
        <f t="shared" ca="1" si="0"/>
        <v>46242</v>
      </c>
      <c r="G96" s="64"/>
    </row>
    <row r="97" spans="1:7" x14ac:dyDescent="0.25">
      <c r="A97" s="60">
        <v>75</v>
      </c>
      <c r="B97" s="61" t="s">
        <v>152</v>
      </c>
      <c r="C97" s="14" t="s">
        <v>6</v>
      </c>
      <c r="D97" s="14" t="s">
        <v>6</v>
      </c>
      <c r="E97" s="12" t="s">
        <v>8</v>
      </c>
      <c r="F97" s="26">
        <f t="shared" ca="1" si="0"/>
        <v>46242</v>
      </c>
      <c r="G97" s="64"/>
    </row>
    <row r="98" spans="1:7" x14ac:dyDescent="0.25">
      <c r="A98" s="60">
        <v>76</v>
      </c>
      <c r="B98" s="61" t="s">
        <v>153</v>
      </c>
      <c r="C98" s="14" t="s">
        <v>6</v>
      </c>
      <c r="D98" s="14" t="s">
        <v>6</v>
      </c>
      <c r="E98" s="12" t="s">
        <v>8</v>
      </c>
      <c r="F98" s="26">
        <f t="shared" ca="1" si="0"/>
        <v>46242</v>
      </c>
      <c r="G98" s="64"/>
    </row>
    <row r="99" spans="1:7" x14ac:dyDescent="0.25">
      <c r="A99" s="60">
        <v>77</v>
      </c>
      <c r="B99" s="61" t="s">
        <v>154</v>
      </c>
      <c r="C99" s="14" t="s">
        <v>6</v>
      </c>
      <c r="D99" s="14" t="s">
        <v>6</v>
      </c>
      <c r="E99" s="12" t="s">
        <v>8</v>
      </c>
      <c r="F99" s="26">
        <f t="shared" ca="1" si="0"/>
        <v>46242</v>
      </c>
      <c r="G99" s="64"/>
    </row>
    <row r="100" spans="1:7" x14ac:dyDescent="0.25">
      <c r="A100" s="60">
        <v>78</v>
      </c>
      <c r="B100" s="61" t="s">
        <v>155</v>
      </c>
      <c r="C100" s="14" t="s">
        <v>6</v>
      </c>
      <c r="D100" s="14" t="s">
        <v>6</v>
      </c>
      <c r="E100" s="12" t="s">
        <v>8</v>
      </c>
      <c r="F100" s="26">
        <f t="shared" ca="1" si="0"/>
        <v>46242</v>
      </c>
      <c r="G100" s="64"/>
    </row>
    <row r="101" spans="1:7" x14ac:dyDescent="0.25">
      <c r="A101" s="60">
        <v>79</v>
      </c>
      <c r="B101" s="61" t="s">
        <v>156</v>
      </c>
      <c r="C101" s="14" t="s">
        <v>5</v>
      </c>
      <c r="D101" s="14" t="s">
        <v>6</v>
      </c>
      <c r="E101" s="12" t="s">
        <v>8</v>
      </c>
      <c r="F101" s="26" t="str">
        <f t="shared" ca="1" si="0"/>
        <v/>
      </c>
      <c r="G101" s="64"/>
    </row>
    <row r="102" spans="1:7" x14ac:dyDescent="0.25">
      <c r="A102" s="60">
        <v>80</v>
      </c>
      <c r="B102" s="61" t="s">
        <v>157</v>
      </c>
      <c r="C102" s="14" t="s">
        <v>6</v>
      </c>
      <c r="D102" s="14" t="s">
        <v>6</v>
      </c>
      <c r="E102" s="12" t="s">
        <v>8</v>
      </c>
      <c r="F102" s="26">
        <f t="shared" ca="1" si="0"/>
        <v>46242</v>
      </c>
      <c r="G102" s="64"/>
    </row>
    <row r="103" spans="1:7" x14ac:dyDescent="0.25">
      <c r="A103" s="60">
        <v>81</v>
      </c>
      <c r="B103" s="61" t="s">
        <v>158</v>
      </c>
      <c r="C103" s="14" t="s">
        <v>6</v>
      </c>
      <c r="D103" s="14" t="s">
        <v>6</v>
      </c>
      <c r="E103" s="12" t="s">
        <v>8</v>
      </c>
      <c r="F103" s="26">
        <f t="shared" ca="1" si="0"/>
        <v>46242</v>
      </c>
      <c r="G103" s="64"/>
    </row>
    <row r="104" spans="1:7" x14ac:dyDescent="0.25">
      <c r="A104" s="60">
        <v>82</v>
      </c>
      <c r="B104" s="61" t="s">
        <v>159</v>
      </c>
      <c r="C104" s="14" t="s">
        <v>6</v>
      </c>
      <c r="D104" s="14" t="s">
        <v>6</v>
      </c>
      <c r="E104" s="12" t="s">
        <v>8</v>
      </c>
      <c r="F104" s="26">
        <f t="shared" ca="1" si="0"/>
        <v>46242</v>
      </c>
      <c r="G104" s="64"/>
    </row>
    <row r="105" spans="1:7" x14ac:dyDescent="0.25">
      <c r="A105" s="60">
        <v>83</v>
      </c>
      <c r="B105" s="61" t="s">
        <v>160</v>
      </c>
      <c r="C105" s="14" t="s">
        <v>6</v>
      </c>
      <c r="D105" s="14" t="s">
        <v>6</v>
      </c>
      <c r="E105" s="12" t="s">
        <v>8</v>
      </c>
      <c r="F105" s="26">
        <f t="shared" ca="1" si="0"/>
        <v>46242</v>
      </c>
      <c r="G105" s="64"/>
    </row>
    <row r="106" spans="1:7" x14ac:dyDescent="0.25">
      <c r="A106" s="60">
        <v>84</v>
      </c>
      <c r="B106" s="61" t="s">
        <v>161</v>
      </c>
      <c r="C106" s="14" t="s">
        <v>5</v>
      </c>
      <c r="D106" s="14" t="s">
        <v>6</v>
      </c>
      <c r="E106" s="12" t="s">
        <v>8</v>
      </c>
      <c r="F106" s="26" t="str">
        <f t="shared" ca="1" si="0"/>
        <v/>
      </c>
      <c r="G106" s="64"/>
    </row>
    <row r="107" spans="1:7" x14ac:dyDescent="0.25">
      <c r="A107" s="60">
        <v>85</v>
      </c>
      <c r="B107" s="61" t="s">
        <v>162</v>
      </c>
      <c r="C107" s="14" t="s">
        <v>6</v>
      </c>
      <c r="D107" s="14" t="s">
        <v>6</v>
      </c>
      <c r="E107" s="12" t="s">
        <v>8</v>
      </c>
      <c r="F107" s="26">
        <f t="shared" ca="1" si="0"/>
        <v>46242</v>
      </c>
      <c r="G107" s="64"/>
    </row>
    <row r="108" spans="1:7" x14ac:dyDescent="0.25">
      <c r="A108" s="60">
        <v>86</v>
      </c>
      <c r="B108" s="61" t="s">
        <v>163</v>
      </c>
      <c r="C108" s="14" t="s">
        <v>5</v>
      </c>
      <c r="D108" s="14" t="s">
        <v>6</v>
      </c>
      <c r="E108" s="12" t="s">
        <v>8</v>
      </c>
      <c r="F108" s="26" t="str">
        <f t="shared" ca="1" si="0"/>
        <v/>
      </c>
      <c r="G108" s="64"/>
    </row>
    <row r="109" spans="1:7" x14ac:dyDescent="0.25">
      <c r="A109" s="60">
        <v>87</v>
      </c>
      <c r="B109" s="61" t="s">
        <v>164</v>
      </c>
      <c r="C109" s="14" t="s">
        <v>6</v>
      </c>
      <c r="D109" s="14" t="s">
        <v>6</v>
      </c>
      <c r="E109" s="12" t="s">
        <v>8</v>
      </c>
      <c r="F109" s="26">
        <f t="shared" ca="1" si="0"/>
        <v>46242</v>
      </c>
      <c r="G109" s="64"/>
    </row>
    <row r="110" spans="1:7" x14ac:dyDescent="0.25">
      <c r="A110" s="60">
        <v>88</v>
      </c>
      <c r="B110" s="61" t="s">
        <v>165</v>
      </c>
      <c r="C110" s="14" t="s">
        <v>6</v>
      </c>
      <c r="D110" s="14" t="s">
        <v>6</v>
      </c>
      <c r="E110" s="12" t="s">
        <v>8</v>
      </c>
      <c r="F110" s="26">
        <f t="shared" ca="1" si="0"/>
        <v>46242</v>
      </c>
      <c r="G110" s="64"/>
    </row>
    <row r="111" spans="1:7" x14ac:dyDescent="0.25">
      <c r="A111" s="60">
        <v>89</v>
      </c>
      <c r="B111" s="61" t="s">
        <v>167</v>
      </c>
      <c r="C111" s="14" t="s">
        <v>5</v>
      </c>
      <c r="D111" s="14" t="s">
        <v>5</v>
      </c>
      <c r="E111" s="12" t="s">
        <v>8</v>
      </c>
      <c r="F111" s="26" t="str">
        <f t="shared" ca="1" si="0"/>
        <v/>
      </c>
      <c r="G111" s="64"/>
    </row>
    <row r="112" spans="1:7" x14ac:dyDescent="0.25">
      <c r="A112" s="60">
        <v>90</v>
      </c>
      <c r="B112" s="61" t="s">
        <v>137</v>
      </c>
      <c r="C112" s="14" t="s">
        <v>6</v>
      </c>
      <c r="D112" s="14" t="s">
        <v>6</v>
      </c>
      <c r="E112" s="12" t="s">
        <v>8</v>
      </c>
      <c r="F112" s="26">
        <f t="shared" ca="1" si="0"/>
        <v>46250</v>
      </c>
      <c r="G112" s="64"/>
    </row>
    <row r="113" spans="1:7" x14ac:dyDescent="0.25">
      <c r="A113" s="60">
        <v>91</v>
      </c>
      <c r="B113" s="61" t="s">
        <v>138</v>
      </c>
      <c r="C113" s="14" t="s">
        <v>6</v>
      </c>
      <c r="D113" s="14" t="s">
        <v>6</v>
      </c>
      <c r="E113" s="12" t="s">
        <v>8</v>
      </c>
      <c r="F113" s="26">
        <f t="shared" ca="1" si="0"/>
        <v>46250</v>
      </c>
      <c r="G113" s="64"/>
    </row>
    <row r="114" spans="1:7" x14ac:dyDescent="0.25">
      <c r="A114" s="60">
        <v>92</v>
      </c>
      <c r="B114" s="61" t="s">
        <v>87</v>
      </c>
      <c r="C114" s="14" t="s">
        <v>5</v>
      </c>
      <c r="D114" s="14" t="s">
        <v>6</v>
      </c>
      <c r="E114" s="12" t="s">
        <v>21</v>
      </c>
      <c r="F114" s="26" t="str">
        <f t="shared" ca="1" si="0"/>
        <v/>
      </c>
      <c r="G114" s="64"/>
    </row>
    <row r="115" spans="1:7" x14ac:dyDescent="0.25">
      <c r="A115" s="60">
        <v>93</v>
      </c>
      <c r="B115" s="61" t="s">
        <v>169</v>
      </c>
      <c r="C115" s="14" t="s">
        <v>5</v>
      </c>
      <c r="D115" s="14" t="s">
        <v>5</v>
      </c>
      <c r="E115" s="12" t="s">
        <v>30</v>
      </c>
      <c r="F115" s="26" t="str">
        <f t="shared" ref="F115:F116" ca="1" si="2">IF(AND(C115="NO",D115="NO"),IF(F115="",TODAY(),F115),"")</f>
        <v/>
      </c>
      <c r="G115" s="64"/>
    </row>
    <row r="116" spans="1:7" x14ac:dyDescent="0.25">
      <c r="A116" s="60">
        <v>94</v>
      </c>
      <c r="B116" s="61" t="s">
        <v>170</v>
      </c>
      <c r="C116" s="14" t="s">
        <v>6</v>
      </c>
      <c r="D116" s="14" t="s">
        <v>6</v>
      </c>
      <c r="E116" s="12" t="s">
        <v>30</v>
      </c>
      <c r="F116" s="26">
        <f t="shared" ca="1" si="2"/>
        <v>46250</v>
      </c>
      <c r="G116" s="64"/>
    </row>
    <row r="117" spans="1:7" x14ac:dyDescent="0.25">
      <c r="A117" s="60">
        <v>95</v>
      </c>
      <c r="B117" s="61" t="s">
        <v>171</v>
      </c>
      <c r="C117" s="14" t="s">
        <v>6</v>
      </c>
      <c r="D117" s="14" t="s">
        <v>6</v>
      </c>
      <c r="E117" s="12" t="s">
        <v>30</v>
      </c>
      <c r="F117" s="26">
        <f t="shared" ref="F117" ca="1" si="3">IF(AND(C117="NO",D117="NO"),IF(F117="",TODAY(),F117),"")</f>
        <v>46250</v>
      </c>
      <c r="G117" s="64"/>
    </row>
    <row r="118" spans="1:7" x14ac:dyDescent="0.25">
      <c r="A118" s="60">
        <v>96</v>
      </c>
      <c r="B118" s="27" t="s">
        <v>76</v>
      </c>
      <c r="C118" s="14" t="s">
        <v>5</v>
      </c>
      <c r="D118" s="14" t="s">
        <v>6</v>
      </c>
      <c r="E118" s="12" t="s">
        <v>21</v>
      </c>
      <c r="F118" s="26" t="str">
        <f t="shared" ca="1" si="0"/>
        <v/>
      </c>
      <c r="G118" s="54">
        <v>584126558931</v>
      </c>
    </row>
    <row r="119" spans="1:7" x14ac:dyDescent="0.25">
      <c r="A119" s="60">
        <v>97</v>
      </c>
      <c r="B119" s="27" t="s">
        <v>97</v>
      </c>
      <c r="C119" s="14" t="s">
        <v>5</v>
      </c>
      <c r="D119" s="14" t="s">
        <v>6</v>
      </c>
      <c r="E119" s="12" t="s">
        <v>21</v>
      </c>
      <c r="F119" s="26" t="str">
        <f t="shared" ca="1" si="0"/>
        <v/>
      </c>
      <c r="G119" s="54">
        <v>584126558731</v>
      </c>
    </row>
    <row r="120" spans="1:7" ht="15" customHeight="1" x14ac:dyDescent="0.25">
      <c r="A120" s="60">
        <v>98</v>
      </c>
      <c r="B120" s="27" t="s">
        <v>98</v>
      </c>
      <c r="C120" s="14" t="s">
        <v>6</v>
      </c>
      <c r="D120" s="14" t="s">
        <v>6</v>
      </c>
      <c r="E120" s="12" t="s">
        <v>21</v>
      </c>
      <c r="F120" s="26">
        <f t="shared" ref="F120:F122" ca="1" si="4">IF(AND(C120="NO",D120="NO"),IF(F120="",TODAY(),F120),"")</f>
        <v>46242</v>
      </c>
      <c r="G120" s="54">
        <v>584126558731</v>
      </c>
    </row>
    <row r="121" spans="1:7" ht="15" customHeight="1" x14ac:dyDescent="0.25">
      <c r="A121" s="60">
        <v>99</v>
      </c>
      <c r="B121" s="27" t="s">
        <v>172</v>
      </c>
      <c r="C121" s="14" t="s">
        <v>6</v>
      </c>
      <c r="D121" s="14" t="s">
        <v>6</v>
      </c>
      <c r="E121" s="12" t="s">
        <v>21</v>
      </c>
      <c r="F121" s="26">
        <f t="shared" ca="1" si="4"/>
        <v>46250</v>
      </c>
      <c r="G121" s="54">
        <v>584246553570</v>
      </c>
    </row>
    <row r="122" spans="1:7" ht="15" customHeight="1" x14ac:dyDescent="0.25">
      <c r="A122" s="60">
        <v>100</v>
      </c>
      <c r="B122" s="27" t="s">
        <v>173</v>
      </c>
      <c r="C122" s="14" t="s">
        <v>5</v>
      </c>
      <c r="D122" s="14" t="s">
        <v>6</v>
      </c>
      <c r="E122" s="12" t="s">
        <v>8</v>
      </c>
      <c r="F122" s="26" t="str">
        <f t="shared" ca="1" si="4"/>
        <v/>
      </c>
      <c r="G122" s="54"/>
    </row>
    <row r="123" spans="1:7" ht="15" customHeight="1" x14ac:dyDescent="0.25">
      <c r="A123" s="60">
        <v>101</v>
      </c>
      <c r="B123" s="27" t="s">
        <v>175</v>
      </c>
      <c r="C123" s="14" t="s">
        <v>5</v>
      </c>
      <c r="D123" s="14" t="s">
        <v>6</v>
      </c>
      <c r="E123" s="12" t="s">
        <v>8</v>
      </c>
      <c r="F123" s="26"/>
      <c r="G123" s="54"/>
    </row>
    <row r="124" spans="1:7" ht="15.75" customHeight="1" x14ac:dyDescent="0.25">
      <c r="A124" s="60">
        <v>102</v>
      </c>
      <c r="B124" s="27" t="s">
        <v>176</v>
      </c>
      <c r="C124" s="14" t="s">
        <v>5</v>
      </c>
      <c r="D124" s="14" t="s">
        <v>6</v>
      </c>
      <c r="E124" s="12" t="s">
        <v>8</v>
      </c>
      <c r="F124" s="26" t="str">
        <f t="shared" ref="F124:F141" ca="1" si="5">IF(AND(C124="NO",D124="NO"),IF(F124="",TODAY(),F124),"")</f>
        <v/>
      </c>
      <c r="G124" s="54"/>
    </row>
    <row r="125" spans="1:7" ht="15.75" customHeight="1" x14ac:dyDescent="0.25">
      <c r="A125" s="60">
        <v>103</v>
      </c>
      <c r="B125" s="27" t="s">
        <v>177</v>
      </c>
      <c r="C125" s="14" t="s">
        <v>5</v>
      </c>
      <c r="D125" s="14" t="s">
        <v>6</v>
      </c>
      <c r="E125" s="12" t="s">
        <v>8</v>
      </c>
      <c r="F125" s="26" t="str">
        <f t="shared" ca="1" si="5"/>
        <v/>
      </c>
      <c r="G125" s="54"/>
    </row>
    <row r="126" spans="1:7" ht="15.75" customHeight="1" x14ac:dyDescent="0.25">
      <c r="A126" s="60">
        <v>104</v>
      </c>
      <c r="B126" s="27" t="s">
        <v>178</v>
      </c>
      <c r="C126" s="14" t="s">
        <v>5</v>
      </c>
      <c r="D126" s="14" t="s">
        <v>6</v>
      </c>
      <c r="E126" s="12" t="s">
        <v>8</v>
      </c>
      <c r="F126" s="26" t="str">
        <f t="shared" ca="1" si="5"/>
        <v/>
      </c>
      <c r="G126" s="54"/>
    </row>
    <row r="127" spans="1:7" ht="15.75" customHeight="1" x14ac:dyDescent="0.25">
      <c r="A127" s="60">
        <v>105</v>
      </c>
      <c r="B127" s="27" t="s">
        <v>179</v>
      </c>
      <c r="C127" s="14" t="s">
        <v>5</v>
      </c>
      <c r="D127" s="14" t="s">
        <v>6</v>
      </c>
      <c r="E127" s="12" t="s">
        <v>8</v>
      </c>
      <c r="F127" s="26" t="str">
        <f t="shared" ca="1" si="5"/>
        <v/>
      </c>
      <c r="G127" s="54"/>
    </row>
    <row r="128" spans="1:7" ht="15.75" customHeight="1" x14ac:dyDescent="0.25">
      <c r="A128" s="60">
        <v>106</v>
      </c>
      <c r="B128" s="27" t="s">
        <v>180</v>
      </c>
      <c r="C128" s="14" t="s">
        <v>5</v>
      </c>
      <c r="D128" s="14" t="s">
        <v>6</v>
      </c>
      <c r="E128" s="12" t="s">
        <v>8</v>
      </c>
      <c r="F128" s="26" t="str">
        <f t="shared" ca="1" si="5"/>
        <v/>
      </c>
      <c r="G128" s="54"/>
    </row>
    <row r="129" spans="1:7" ht="15" customHeight="1" x14ac:dyDescent="0.25">
      <c r="A129" s="60">
        <v>107</v>
      </c>
      <c r="B129" s="27" t="s">
        <v>181</v>
      </c>
      <c r="C129" s="14" t="s">
        <v>5</v>
      </c>
      <c r="D129" s="14" t="s">
        <v>6</v>
      </c>
      <c r="E129" s="12" t="s">
        <v>8</v>
      </c>
      <c r="F129" s="26" t="str">
        <f t="shared" ca="1" si="5"/>
        <v/>
      </c>
      <c r="G129" s="54"/>
    </row>
    <row r="130" spans="1:7" ht="15" customHeight="1" x14ac:dyDescent="0.25">
      <c r="A130" s="60">
        <v>108</v>
      </c>
      <c r="B130" s="27" t="s">
        <v>182</v>
      </c>
      <c r="C130" s="14" t="s">
        <v>5</v>
      </c>
      <c r="D130" s="14" t="s">
        <v>6</v>
      </c>
      <c r="E130" s="12" t="s">
        <v>8</v>
      </c>
      <c r="F130" s="26" t="str">
        <f t="shared" ca="1" si="5"/>
        <v/>
      </c>
      <c r="G130" s="54"/>
    </row>
    <row r="131" spans="1:7" ht="15" customHeight="1" x14ac:dyDescent="0.25">
      <c r="A131" s="60">
        <v>109</v>
      </c>
      <c r="B131" s="27" t="s">
        <v>183</v>
      </c>
      <c r="C131" s="14" t="s">
        <v>5</v>
      </c>
      <c r="D131" s="14" t="s">
        <v>6</v>
      </c>
      <c r="E131" s="12" t="s">
        <v>8</v>
      </c>
      <c r="F131" s="26" t="str">
        <f t="shared" ca="1" si="5"/>
        <v/>
      </c>
      <c r="G131" s="54"/>
    </row>
    <row r="132" spans="1:7" ht="15" customHeight="1" x14ac:dyDescent="0.25">
      <c r="A132" s="60">
        <v>110</v>
      </c>
      <c r="B132" s="27" t="s">
        <v>184</v>
      </c>
      <c r="C132" s="14" t="s">
        <v>5</v>
      </c>
      <c r="D132" s="14" t="s">
        <v>6</v>
      </c>
      <c r="E132" s="12" t="s">
        <v>8</v>
      </c>
      <c r="F132" s="26" t="str">
        <f t="shared" ca="1" si="5"/>
        <v/>
      </c>
      <c r="G132" s="54"/>
    </row>
    <row r="133" spans="1:7" ht="15" customHeight="1" x14ac:dyDescent="0.25">
      <c r="A133" s="60">
        <v>111</v>
      </c>
      <c r="B133" s="27" t="s">
        <v>185</v>
      </c>
      <c r="C133" s="14" t="s">
        <v>5</v>
      </c>
      <c r="D133" s="14" t="s">
        <v>5</v>
      </c>
      <c r="E133" s="12" t="s">
        <v>8</v>
      </c>
      <c r="F133" s="26" t="str">
        <f t="shared" ca="1" si="5"/>
        <v/>
      </c>
      <c r="G133" s="54"/>
    </row>
    <row r="134" spans="1:7" ht="15" customHeight="1" x14ac:dyDescent="0.25">
      <c r="A134" s="60">
        <v>112</v>
      </c>
      <c r="B134" s="27" t="s">
        <v>186</v>
      </c>
      <c r="C134" s="14" t="s">
        <v>5</v>
      </c>
      <c r="D134" s="14" t="s">
        <v>6</v>
      </c>
      <c r="E134" s="12" t="s">
        <v>8</v>
      </c>
      <c r="F134" s="26" t="str">
        <f t="shared" ref="F134" ca="1" si="6">IF(AND(C134="NO",D134="NO"),IF(F134="",TODAY(),F134),"")</f>
        <v/>
      </c>
      <c r="G134" s="54"/>
    </row>
    <row r="135" spans="1:7" ht="15" customHeight="1" x14ac:dyDescent="0.25">
      <c r="A135" s="60">
        <v>113</v>
      </c>
      <c r="B135" s="27" t="s">
        <v>187</v>
      </c>
      <c r="C135" s="14" t="s">
        <v>5</v>
      </c>
      <c r="D135" s="14" t="s">
        <v>6</v>
      </c>
      <c r="E135" s="12" t="s">
        <v>8</v>
      </c>
      <c r="F135" s="26" t="str">
        <f t="shared" ca="1" si="5"/>
        <v/>
      </c>
      <c r="G135" s="54"/>
    </row>
    <row r="136" spans="1:7" ht="15" customHeight="1" x14ac:dyDescent="0.25">
      <c r="A136" s="60">
        <v>114</v>
      </c>
      <c r="B136" s="27" t="s">
        <v>188</v>
      </c>
      <c r="C136" s="14" t="s">
        <v>5</v>
      </c>
      <c r="D136" s="14" t="s">
        <v>6</v>
      </c>
      <c r="E136" s="12" t="s">
        <v>8</v>
      </c>
      <c r="F136" s="26" t="str">
        <f t="shared" ref="F136" ca="1" si="7">IF(AND(C136="NO",D136="NO"),IF(F136="",TODAY(),F136),"")</f>
        <v/>
      </c>
      <c r="G136" s="54"/>
    </row>
    <row r="137" spans="1:7" ht="15" customHeight="1" x14ac:dyDescent="0.25">
      <c r="A137" s="60">
        <v>115</v>
      </c>
      <c r="B137" s="27" t="s">
        <v>189</v>
      </c>
      <c r="C137" s="14" t="s">
        <v>5</v>
      </c>
      <c r="D137" s="14" t="s">
        <v>6</v>
      </c>
      <c r="E137" s="12" t="s">
        <v>8</v>
      </c>
      <c r="F137" s="26" t="str">
        <f t="shared" ca="1" si="5"/>
        <v/>
      </c>
      <c r="G137" s="54"/>
    </row>
    <row r="138" spans="1:7" ht="15" customHeight="1" x14ac:dyDescent="0.25">
      <c r="A138" s="60">
        <v>116</v>
      </c>
      <c r="B138" s="27" t="s">
        <v>190</v>
      </c>
      <c r="C138" s="14" t="s">
        <v>5</v>
      </c>
      <c r="D138" s="14" t="s">
        <v>6</v>
      </c>
      <c r="E138" s="12" t="s">
        <v>8</v>
      </c>
      <c r="F138" s="26" t="str">
        <f t="shared" ref="F138" ca="1" si="8">IF(AND(C138="NO",D138="NO"),IF(F138="",TODAY(),F138),"")</f>
        <v/>
      </c>
      <c r="G138" s="54"/>
    </row>
    <row r="139" spans="1:7" ht="15" customHeight="1" x14ac:dyDescent="0.25">
      <c r="A139" s="60">
        <v>117</v>
      </c>
      <c r="B139" s="27" t="s">
        <v>191</v>
      </c>
      <c r="C139" s="14" t="s">
        <v>5</v>
      </c>
      <c r="D139" s="14" t="s">
        <v>6</v>
      </c>
      <c r="E139" s="12" t="s">
        <v>8</v>
      </c>
      <c r="F139" s="26" t="str">
        <f t="shared" ca="1" si="5"/>
        <v/>
      </c>
      <c r="G139" s="54"/>
    </row>
    <row r="140" spans="1:7" ht="15" customHeight="1" x14ac:dyDescent="0.25">
      <c r="A140" s="60">
        <v>118</v>
      </c>
      <c r="B140" s="27" t="s">
        <v>192</v>
      </c>
      <c r="C140" s="14" t="s">
        <v>5</v>
      </c>
      <c r="D140" s="14" t="s">
        <v>6</v>
      </c>
      <c r="E140" s="12" t="s">
        <v>8</v>
      </c>
      <c r="F140" s="26" t="str">
        <f t="shared" ref="F140" ca="1" si="9">IF(AND(C140="NO",D140="NO"),IF(F140="",TODAY(),F140),"")</f>
        <v/>
      </c>
      <c r="G140" s="54"/>
    </row>
    <row r="141" spans="1:7" ht="15" customHeight="1" x14ac:dyDescent="0.25">
      <c r="A141" s="60">
        <v>119</v>
      </c>
      <c r="B141" s="27" t="s">
        <v>193</v>
      </c>
      <c r="C141" s="14" t="s">
        <v>5</v>
      </c>
      <c r="D141" s="14" t="s">
        <v>6</v>
      </c>
      <c r="E141" s="12" t="s">
        <v>8</v>
      </c>
      <c r="F141" s="26" t="str">
        <f t="shared" ca="1" si="5"/>
        <v/>
      </c>
      <c r="G141" s="54"/>
    </row>
    <row r="142" spans="1:7" ht="15" customHeight="1" x14ac:dyDescent="0.25">
      <c r="A142" s="60">
        <v>120</v>
      </c>
      <c r="B142" s="27" t="s">
        <v>196</v>
      </c>
      <c r="C142" s="14" t="s">
        <v>5</v>
      </c>
      <c r="D142" s="14" t="s">
        <v>6</v>
      </c>
      <c r="E142" s="12" t="s">
        <v>8</v>
      </c>
      <c r="F142" s="26"/>
      <c r="G142" s="54"/>
    </row>
    <row r="143" spans="1:7" ht="15" customHeight="1" x14ac:dyDescent="0.25">
      <c r="A143" s="60">
        <v>121</v>
      </c>
      <c r="B143" s="27" t="s">
        <v>194</v>
      </c>
      <c r="C143" s="14" t="s">
        <v>5</v>
      </c>
      <c r="D143" s="14" t="s">
        <v>6</v>
      </c>
      <c r="E143" s="12" t="s">
        <v>8</v>
      </c>
      <c r="F143" s="26" t="str">
        <f t="shared" ca="1" si="0"/>
        <v/>
      </c>
      <c r="G143" s="54"/>
    </row>
    <row r="144" spans="1:7" ht="15" customHeight="1" x14ac:dyDescent="0.25">
      <c r="G144" s="57"/>
    </row>
    <row r="145" spans="1:7" ht="45" x14ac:dyDescent="0.25">
      <c r="A145" s="81" t="s">
        <v>15</v>
      </c>
      <c r="B145" s="82"/>
      <c r="C145" s="8">
        <f>COUNTIF(C23:C143, "SI")</f>
        <v>72</v>
      </c>
      <c r="D145" s="6" t="s">
        <v>12</v>
      </c>
      <c r="E145" s="21">
        <f>C145/A143*100</f>
        <v>59.504132231404959</v>
      </c>
      <c r="F145" s="9" t="s">
        <v>68</v>
      </c>
      <c r="G145" s="57"/>
    </row>
    <row r="146" spans="1:7" ht="45" x14ac:dyDescent="0.25">
      <c r="A146" s="81" t="s">
        <v>16</v>
      </c>
      <c r="B146" s="82"/>
      <c r="C146" s="8">
        <f>COUNTIF(C23:C143, "NO")</f>
        <v>49</v>
      </c>
      <c r="D146" s="6" t="s">
        <v>12</v>
      </c>
      <c r="E146" s="21">
        <f>C146/A143*100</f>
        <v>40.495867768595041</v>
      </c>
      <c r="F146" s="9" t="s">
        <v>69</v>
      </c>
      <c r="G146" s="57"/>
    </row>
    <row r="147" spans="1:7" ht="18" x14ac:dyDescent="0.25">
      <c r="A147" s="16"/>
      <c r="B147" s="16"/>
      <c r="C147" s="17"/>
      <c r="D147" s="18"/>
      <c r="E147" s="19"/>
      <c r="F147" s="20"/>
      <c r="G147" s="57"/>
    </row>
    <row r="148" spans="1:7" ht="45" x14ac:dyDescent="0.25">
      <c r="A148" s="81" t="s">
        <v>17</v>
      </c>
      <c r="B148" s="82"/>
      <c r="C148" s="8">
        <f>COUNTIF(D23:D143, "SI")</f>
        <v>21</v>
      </c>
      <c r="D148" s="6" t="s">
        <v>12</v>
      </c>
      <c r="E148" s="21">
        <f>C148/A143*100</f>
        <v>17.355371900826448</v>
      </c>
      <c r="F148" s="9" t="s">
        <v>19</v>
      </c>
      <c r="G148" s="57"/>
    </row>
    <row r="149" spans="1:7" ht="45" x14ac:dyDescent="0.25">
      <c r="A149" s="81" t="s">
        <v>18</v>
      </c>
      <c r="B149" s="82"/>
      <c r="C149" s="8">
        <f>COUNTIF(D23:D143, "NO")</f>
        <v>100</v>
      </c>
      <c r="D149" s="6" t="s">
        <v>12</v>
      </c>
      <c r="E149" s="21">
        <f>C149/A143*100</f>
        <v>82.644628099173559</v>
      </c>
      <c r="F149" s="9" t="s">
        <v>20</v>
      </c>
      <c r="G149" s="57"/>
    </row>
    <row r="150" spans="1:7" ht="18" x14ac:dyDescent="0.25">
      <c r="A150" s="16"/>
      <c r="B150" s="16"/>
      <c r="C150" s="17"/>
      <c r="D150" s="18"/>
      <c r="E150" s="19"/>
      <c r="F150" s="37"/>
      <c r="G150" s="57"/>
    </row>
    <row r="151" spans="1:7" x14ac:dyDescent="0.25">
      <c r="A151" s="70" t="s">
        <v>53</v>
      </c>
      <c r="B151" s="71"/>
      <c r="C151" s="76">
        <f>COUNTIFS(C23:C143,"SI",D23:D143,"SI")</f>
        <v>20</v>
      </c>
      <c r="D151" s="79" t="s">
        <v>12</v>
      </c>
      <c r="E151" s="77">
        <f>C151/A143*100</f>
        <v>16.528925619834713</v>
      </c>
      <c r="F151" s="66" t="s">
        <v>55</v>
      </c>
      <c r="G151" s="57"/>
    </row>
    <row r="152" spans="1:7" x14ac:dyDescent="0.25">
      <c r="A152" s="72"/>
      <c r="B152" s="73"/>
      <c r="C152" s="76"/>
      <c r="D152" s="80"/>
      <c r="E152" s="78"/>
      <c r="F152" s="67"/>
      <c r="G152" s="57"/>
    </row>
    <row r="153" spans="1:7" ht="18" customHeight="1" x14ac:dyDescent="0.25">
      <c r="A153" s="70" t="s">
        <v>54</v>
      </c>
      <c r="B153" s="71"/>
      <c r="C153" s="76">
        <f>COUNTIFS(C23:C143,"NO",D23:D143,"NO")</f>
        <v>48</v>
      </c>
      <c r="D153" s="79" t="s">
        <v>12</v>
      </c>
      <c r="E153" s="77">
        <f>C153/A143*100</f>
        <v>39.669421487603309</v>
      </c>
      <c r="F153" s="66" t="s">
        <v>56</v>
      </c>
      <c r="G153" s="57"/>
    </row>
    <row r="154" spans="1:7" ht="18" customHeight="1" x14ac:dyDescent="0.25">
      <c r="A154" s="72"/>
      <c r="B154" s="73"/>
      <c r="C154" s="76"/>
      <c r="D154" s="80"/>
      <c r="E154" s="78"/>
      <c r="F154" s="67"/>
      <c r="G154" s="57"/>
    </row>
    <row r="155" spans="1:7" ht="18" x14ac:dyDescent="0.25">
      <c r="A155" s="16"/>
      <c r="B155" s="16"/>
      <c r="C155" s="17"/>
      <c r="D155" s="18"/>
      <c r="E155" s="19"/>
      <c r="F155" s="37"/>
      <c r="G155" s="43"/>
    </row>
    <row r="156" spans="1:7" x14ac:dyDescent="0.25">
      <c r="G156" s="43"/>
    </row>
    <row r="157" spans="1:7" x14ac:dyDescent="0.25">
      <c r="G157" s="57"/>
    </row>
    <row r="158" spans="1:7" x14ac:dyDescent="0.25">
      <c r="G158" s="57"/>
    </row>
    <row r="159" spans="1:7" x14ac:dyDescent="0.25">
      <c r="G159" s="43"/>
    </row>
    <row r="160" spans="1:7" x14ac:dyDescent="0.25">
      <c r="G160" s="57"/>
    </row>
    <row r="161" spans="7:9" x14ac:dyDescent="0.25">
      <c r="G161" s="57"/>
    </row>
    <row r="162" spans="7:9" x14ac:dyDescent="0.25">
      <c r="G162" s="57"/>
    </row>
    <row r="163" spans="7:9" x14ac:dyDescent="0.25">
      <c r="G163" s="57"/>
    </row>
    <row r="164" spans="7:9" x14ac:dyDescent="0.25">
      <c r="G164" s="57"/>
    </row>
    <row r="165" spans="7:9" x14ac:dyDescent="0.25">
      <c r="G165" s="57"/>
    </row>
    <row r="166" spans="7:9" x14ac:dyDescent="0.25">
      <c r="G166" s="57"/>
    </row>
    <row r="167" spans="7:9" x14ac:dyDescent="0.25">
      <c r="G167" s="57"/>
      <c r="I167" s="46"/>
    </row>
    <row r="168" spans="7:9" x14ac:dyDescent="0.25">
      <c r="G168" s="57"/>
      <c r="I168" s="47"/>
    </row>
    <row r="169" spans="7:9" x14ac:dyDescent="0.25">
      <c r="G169" s="57"/>
    </row>
    <row r="170" spans="7:9" x14ac:dyDescent="0.25">
      <c r="G170" s="57"/>
    </row>
    <row r="171" spans="7:9" x14ac:dyDescent="0.25">
      <c r="G171" s="57"/>
    </row>
    <row r="172" spans="7:9" x14ac:dyDescent="0.25">
      <c r="G172" s="43"/>
    </row>
    <row r="173" spans="7:9" x14ac:dyDescent="0.25">
      <c r="G173" s="57"/>
    </row>
    <row r="174" spans="7:9" x14ac:dyDescent="0.25">
      <c r="G174" s="57"/>
    </row>
    <row r="175" spans="7:9" x14ac:dyDescent="0.25">
      <c r="G175" s="57"/>
    </row>
    <row r="176" spans="7:9" x14ac:dyDescent="0.25">
      <c r="G176" s="57"/>
    </row>
    <row r="177" spans="7:7" x14ac:dyDescent="0.25">
      <c r="G177" s="57"/>
    </row>
    <row r="178" spans="7:7" x14ac:dyDescent="0.25">
      <c r="G178" s="52"/>
    </row>
    <row r="179" spans="7:7" x14ac:dyDescent="0.25">
      <c r="G179" s="52"/>
    </row>
    <row r="180" spans="7:7" x14ac:dyDescent="0.25">
      <c r="G180" s="52"/>
    </row>
    <row r="181" spans="7:7" x14ac:dyDescent="0.25">
      <c r="G181" s="52"/>
    </row>
    <row r="182" spans="7:7" x14ac:dyDescent="0.25">
      <c r="G182" s="52"/>
    </row>
    <row r="183" spans="7:7" x14ac:dyDescent="0.25">
      <c r="G183" s="52"/>
    </row>
    <row r="184" spans="7:7" x14ac:dyDescent="0.25">
      <c r="G184" s="52"/>
    </row>
    <row r="185" spans="7:7" ht="15" customHeight="1" x14ac:dyDescent="0.25">
      <c r="G185" s="52"/>
    </row>
    <row r="186" spans="7:7" ht="15" customHeight="1" x14ac:dyDescent="0.25">
      <c r="G186" s="52"/>
    </row>
    <row r="187" spans="7:7" ht="15" customHeight="1" x14ac:dyDescent="0.25">
      <c r="G187" s="52"/>
    </row>
    <row r="188" spans="7:7" ht="15" customHeight="1" x14ac:dyDescent="0.25">
      <c r="G188" s="52"/>
    </row>
    <row r="189" spans="7:7" x14ac:dyDescent="0.25">
      <c r="G189" s="52"/>
    </row>
    <row r="191" spans="7:7" ht="14.25" customHeight="1" x14ac:dyDescent="0.25"/>
    <row r="192" spans="7:7" ht="15" customHeight="1" x14ac:dyDescent="0.25"/>
    <row r="193" ht="15" customHeight="1" x14ac:dyDescent="0.25"/>
    <row r="195" ht="15" customHeight="1" x14ac:dyDescent="0.25"/>
    <row r="196" ht="15" customHeight="1" x14ac:dyDescent="0.25"/>
    <row r="197" ht="15" customHeight="1" x14ac:dyDescent="0.25"/>
    <row r="199" ht="15" customHeight="1" x14ac:dyDescent="0.25"/>
    <row r="200" ht="15" customHeight="1" x14ac:dyDescent="0.25"/>
    <row r="201" ht="15" customHeight="1" x14ac:dyDescent="0.25"/>
    <row r="211" ht="15" customHeight="1" x14ac:dyDescent="0.25"/>
    <row r="214" ht="15" customHeight="1" x14ac:dyDescent="0.25"/>
    <row r="217" ht="15" customHeight="1" x14ac:dyDescent="0.25"/>
    <row r="218" ht="15" customHeight="1" x14ac:dyDescent="0.25"/>
    <row r="225" spans="12:17" ht="15" customHeight="1" x14ac:dyDescent="0.25"/>
    <row r="226" spans="12:17" ht="15" customHeight="1" x14ac:dyDescent="0.25">
      <c r="L226" s="29"/>
      <c r="M226" s="36"/>
      <c r="N226" s="29"/>
      <c r="O226" s="29"/>
      <c r="P226" s="35"/>
      <c r="Q226" s="32"/>
    </row>
    <row r="227" spans="12:17" ht="15.75" customHeight="1" x14ac:dyDescent="0.25"/>
    <row r="228" spans="12:17" ht="15.75" customHeight="1" x14ac:dyDescent="0.25"/>
    <row r="259" ht="15.75" customHeight="1" x14ac:dyDescent="0.25"/>
    <row r="273" spans="28:35" ht="15" customHeight="1" x14ac:dyDescent="0.25"/>
    <row r="274" spans="28:35" ht="15" customHeight="1" x14ac:dyDescent="0.25"/>
    <row r="276" spans="28:35" x14ac:dyDescent="0.25">
      <c r="AB276" s="29"/>
      <c r="AC276" s="36"/>
      <c r="AD276" s="29"/>
      <c r="AE276" s="29"/>
      <c r="AF276" s="35"/>
      <c r="AG276" s="32"/>
      <c r="AI276" s="33"/>
    </row>
    <row r="277" spans="28:35" ht="13.5" customHeight="1" x14ac:dyDescent="0.25"/>
    <row r="286" spans="28:35" ht="14.25" customHeight="1" x14ac:dyDescent="0.25"/>
    <row r="292" ht="13.5" customHeight="1" x14ac:dyDescent="0.25"/>
    <row r="313" ht="15" customHeight="1" x14ac:dyDescent="0.25"/>
    <row r="331" ht="15" customHeight="1" x14ac:dyDescent="0.25"/>
    <row r="340" ht="15" customHeight="1" x14ac:dyDescent="0.25"/>
    <row r="342" ht="15" customHeight="1" x14ac:dyDescent="0.25"/>
    <row r="348" ht="15" customHeight="1" x14ac:dyDescent="0.25"/>
    <row r="349" ht="15" customHeight="1" x14ac:dyDescent="0.25"/>
    <row r="350" ht="14.25" customHeight="1" x14ac:dyDescent="0.25"/>
    <row r="372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1" ht="15.75" customHeight="1" x14ac:dyDescent="0.25"/>
    <row r="421" spans="1:10" s="33" customFormat="1" ht="17.25" customHeight="1" x14ac:dyDescent="0.25">
      <c r="A421"/>
      <c r="B421"/>
      <c r="C421"/>
      <c r="D421"/>
      <c r="E421"/>
      <c r="F421"/>
      <c r="G421"/>
      <c r="H421"/>
      <c r="I421"/>
      <c r="J421"/>
    </row>
    <row r="426" spans="1:10" ht="13.5" customHeight="1" x14ac:dyDescent="0.25"/>
    <row r="428" spans="1:10" ht="15" customHeight="1" x14ac:dyDescent="0.25"/>
    <row r="431" spans="1:10" ht="15" customHeight="1" x14ac:dyDescent="0.25"/>
    <row r="433" ht="15" customHeight="1" x14ac:dyDescent="0.25"/>
    <row r="450" ht="15" customHeight="1" x14ac:dyDescent="0.25"/>
    <row r="472" ht="15.75" customHeight="1" x14ac:dyDescent="0.25"/>
    <row r="476" ht="13.5" customHeight="1" x14ac:dyDescent="0.25"/>
    <row r="477" ht="13.5" customHeight="1" x14ac:dyDescent="0.25"/>
    <row r="480" ht="13.5" customHeight="1" x14ac:dyDescent="0.25"/>
    <row r="481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7.25" customHeight="1" x14ac:dyDescent="0.25"/>
    <row r="495" ht="12.7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5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9" ht="15" customHeight="1" x14ac:dyDescent="0.25"/>
    <row r="540" ht="15" customHeight="1" x14ac:dyDescent="0.25"/>
    <row r="541" ht="15.75" customHeight="1" x14ac:dyDescent="0.25"/>
    <row r="547" ht="15.75" customHeight="1" x14ac:dyDescent="0.25"/>
    <row r="549" ht="15" customHeight="1" x14ac:dyDescent="0.25"/>
    <row r="553" ht="15" customHeight="1" x14ac:dyDescent="0.25"/>
    <row r="569" ht="13.5" customHeight="1" x14ac:dyDescent="0.25"/>
    <row r="580" ht="15" customHeight="1" x14ac:dyDescent="0.25"/>
    <row r="600" ht="15" customHeight="1" x14ac:dyDescent="0.25"/>
    <row r="601" ht="15" customHeight="1" x14ac:dyDescent="0.25"/>
    <row r="605" ht="14.25" customHeight="1" x14ac:dyDescent="0.25"/>
    <row r="610" ht="13.5" customHeight="1" x14ac:dyDescent="0.25"/>
    <row r="611" ht="13.5" customHeight="1" x14ac:dyDescent="0.25"/>
    <row r="613" ht="15" customHeight="1" x14ac:dyDescent="0.25"/>
    <row r="616" ht="15" customHeight="1" x14ac:dyDescent="0.25"/>
    <row r="617" ht="15" customHeight="1" x14ac:dyDescent="0.25"/>
    <row r="618" ht="15" customHeight="1" x14ac:dyDescent="0.25"/>
    <row r="621" ht="15" customHeight="1" x14ac:dyDescent="0.25"/>
    <row r="622" ht="15" customHeight="1" x14ac:dyDescent="0.25"/>
    <row r="625" ht="15" customHeight="1" x14ac:dyDescent="0.25"/>
    <row r="626" ht="15" customHeight="1" x14ac:dyDescent="0.25"/>
    <row r="628" ht="15" customHeight="1" x14ac:dyDescent="0.25"/>
    <row r="629" ht="15" customHeight="1" x14ac:dyDescent="0.25"/>
    <row r="631" ht="14.2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8" ht="15" customHeight="1" x14ac:dyDescent="0.25"/>
    <row r="639" ht="15" customHeight="1" x14ac:dyDescent="0.25"/>
    <row r="640" ht="15" customHeight="1" x14ac:dyDescent="0.25"/>
    <row r="643" spans="1:10" ht="15" customHeight="1" x14ac:dyDescent="0.25"/>
    <row r="644" spans="1:10" ht="15" customHeight="1" x14ac:dyDescent="0.25"/>
    <row r="645" spans="1:10" ht="15" customHeight="1" x14ac:dyDescent="0.25"/>
    <row r="646" spans="1:10" ht="15" customHeight="1" x14ac:dyDescent="0.25"/>
    <row r="647" spans="1:10" ht="15" customHeight="1" x14ac:dyDescent="0.25"/>
    <row r="648" spans="1:10" ht="15" customHeight="1" x14ac:dyDescent="0.25"/>
    <row r="651" spans="1:10" s="41" customFormat="1" x14ac:dyDescent="0.25">
      <c r="A651"/>
      <c r="B651"/>
      <c r="C651"/>
      <c r="D651"/>
      <c r="E651"/>
      <c r="F651"/>
      <c r="G651"/>
      <c r="H651"/>
      <c r="I651"/>
      <c r="J651"/>
    </row>
    <row r="652" spans="1:10" s="41" customFormat="1" x14ac:dyDescent="0.25">
      <c r="A652"/>
      <c r="B652"/>
      <c r="C652"/>
      <c r="D652"/>
      <c r="E652"/>
      <c r="F652"/>
      <c r="G652"/>
      <c r="H652"/>
      <c r="I652"/>
      <c r="J652"/>
    </row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8" ht="15" customHeight="1" x14ac:dyDescent="0.25"/>
    <row r="683" ht="16.5" customHeight="1" x14ac:dyDescent="0.25"/>
    <row r="685" ht="15" customHeight="1" x14ac:dyDescent="0.25"/>
    <row r="686" ht="14.25" customHeight="1" x14ac:dyDescent="0.25"/>
    <row r="705" ht="36" customHeight="1" x14ac:dyDescent="0.25"/>
    <row r="708" ht="22.5" customHeight="1" x14ac:dyDescent="0.25"/>
    <row r="710" ht="15" customHeight="1" x14ac:dyDescent="0.25"/>
    <row r="711" ht="13.5" customHeight="1" x14ac:dyDescent="0.25"/>
    <row r="718" ht="13.5" customHeight="1" x14ac:dyDescent="0.25"/>
    <row r="729" ht="15" customHeight="1" x14ac:dyDescent="0.25"/>
    <row r="730" ht="28.5" customHeight="1" x14ac:dyDescent="0.25"/>
    <row r="762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</sheetData>
  <mergeCells count="46">
    <mergeCell ref="A3:B4"/>
    <mergeCell ref="C3:G4"/>
    <mergeCell ref="C16:D16"/>
    <mergeCell ref="A145:B145"/>
    <mergeCell ref="D151:D152"/>
    <mergeCell ref="A21:E21"/>
    <mergeCell ref="A17:B17"/>
    <mergeCell ref="A1:G1"/>
    <mergeCell ref="A2:G2"/>
    <mergeCell ref="F151:F152"/>
    <mergeCell ref="A146:B146"/>
    <mergeCell ref="E151:E152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J5:K5"/>
    <mergeCell ref="A13:B14"/>
    <mergeCell ref="C13:C14"/>
    <mergeCell ref="D13:D14"/>
    <mergeCell ref="A11:B12"/>
    <mergeCell ref="C11:C12"/>
    <mergeCell ref="D11:D12"/>
    <mergeCell ref="C8:D8"/>
    <mergeCell ref="A8:B8"/>
    <mergeCell ref="F11:G12"/>
    <mergeCell ref="E13:E14"/>
    <mergeCell ref="J8:K8"/>
    <mergeCell ref="F153:F154"/>
    <mergeCell ref="I21:J22"/>
    <mergeCell ref="A151:B152"/>
    <mergeCell ref="C19:D19"/>
    <mergeCell ref="C153:C154"/>
    <mergeCell ref="E153:E154"/>
    <mergeCell ref="D153:D154"/>
    <mergeCell ref="C151:C152"/>
    <mergeCell ref="A153:B154"/>
    <mergeCell ref="A149:B149"/>
    <mergeCell ref="A148:B148"/>
  </mergeCells>
  <phoneticPr fontId="17" type="noConversion"/>
  <conditionalFormatting sqref="F17">
    <cfRule type="colorScale" priority="1447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230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N226:O226 C23:D120 C143:D143">
    <cfRule type="containsText" dxfId="253" priority="7023" operator="containsText" text="NO+$D$4:$D$10">
      <formula>NOT(ISERROR(SEARCH("NO+$D$4:$D$10",C23)))</formula>
    </cfRule>
  </conditionalFormatting>
  <conditionalFormatting sqref="N226:O226 C23:D120 C143:D143">
    <cfRule type="containsText" dxfId="252" priority="7021" operator="containsText" text="SI">
      <formula>NOT(ISERROR(SEARCH("SI",C23)))</formula>
    </cfRule>
    <cfRule type="containsText" dxfId="251" priority="7022" operator="containsText" text="NO">
      <formula>NOT(ISERROR(SEARCH("NO",C23)))</formula>
    </cfRule>
  </conditionalFormatting>
  <conditionalFormatting sqref="N226:P226 C23:E23 E24:E114 C24:D120 C143:D143">
    <cfRule type="containsText" dxfId="250" priority="7020" operator="containsText" text="NUEVO">
      <formula>NOT(ISERROR(SEARCH("NUEVO",C23)))</formula>
    </cfRule>
  </conditionalFormatting>
  <conditionalFormatting sqref="P226 E23:E114">
    <cfRule type="containsText" dxfId="249" priority="7019" operator="containsText" text="Sin Información">
      <formula>NOT(ISERROR(SEARCH("Sin Información",E23)))</formula>
    </cfRule>
  </conditionalFormatting>
  <conditionalFormatting sqref="AD276:AE276">
    <cfRule type="containsText" dxfId="248" priority="3997" operator="containsText" text="NO+$D$4:$D$10">
      <formula>NOT(ISERROR(SEARCH("NO+$D$4:$D$10",AD276)))</formula>
    </cfRule>
  </conditionalFormatting>
  <conditionalFormatting sqref="AD276:AE276">
    <cfRule type="containsText" dxfId="247" priority="3995" operator="containsText" text="SI">
      <formula>NOT(ISERROR(SEARCH("SI",AD276)))</formula>
    </cfRule>
    <cfRule type="containsText" dxfId="246" priority="3996" operator="containsText" text="NO">
      <formula>NOT(ISERROR(SEARCH("NO",AD276)))</formula>
    </cfRule>
  </conditionalFormatting>
  <conditionalFormatting sqref="AD276:AE276">
    <cfRule type="containsText" dxfId="245" priority="3994" operator="containsText" text="NUEVO">
      <formula>NOT(ISERROR(SEARCH("NUEVO",AD276)))</formula>
    </cfRule>
  </conditionalFormatting>
  <conditionalFormatting sqref="AF276">
    <cfRule type="containsText" dxfId="244" priority="3993" operator="containsText" text="NUEVO">
      <formula>NOT(ISERROR(SEARCH("NUEVO",AF276)))</formula>
    </cfRule>
  </conditionalFormatting>
  <conditionalFormatting sqref="AF276">
    <cfRule type="containsText" dxfId="243" priority="3992" operator="containsText" text="Sin Información">
      <formula>NOT(ISERROR(SEARCH("Sin Información",AF276)))</formula>
    </cfRule>
  </conditionalFormatting>
  <conditionalFormatting sqref="G177 G157:G158 G173:G175 G160:G171 G144:G154 E23:F114">
    <cfRule type="expression" dxfId="242" priority="2285">
      <formula>E23&lt;&gt;""</formula>
    </cfRule>
  </conditionalFormatting>
  <conditionalFormatting sqref="I32 I80:J81 J23 I78:J78 I157:J158 I160:J169 I147:J154 I84:J115 I24:J31 I33:J76 I117:J119 I143:J145">
    <cfRule type="expression" dxfId="241" priority="2280">
      <formula>OR(I23&lt;&gt;"", J23&lt;&gt;"")</formula>
    </cfRule>
  </conditionalFormatting>
  <conditionalFormatting sqref="J32">
    <cfRule type="expression" dxfId="240" priority="29507">
      <formula>OR(J32&lt;&gt;"", K83&lt;&gt;"")</formula>
    </cfRule>
  </conditionalFormatting>
  <conditionalFormatting sqref="G176">
    <cfRule type="expression" dxfId="239" priority="689">
      <formula>G176&lt;&gt;""</formula>
    </cfRule>
  </conditionalFormatting>
  <conditionalFormatting sqref="G143">
    <cfRule type="expression" dxfId="238" priority="328">
      <formula>G143&lt;&gt;""</formula>
    </cfRule>
  </conditionalFormatting>
  <conditionalFormatting sqref="F143">
    <cfRule type="expression" dxfId="237" priority="327">
      <formula>F143&lt;&gt;""</formula>
    </cfRule>
  </conditionalFormatting>
  <conditionalFormatting sqref="E143">
    <cfRule type="containsText" dxfId="236" priority="326" operator="containsText" text="NUEVO">
      <formula>NOT(ISERROR(SEARCH("NUEVO",E143)))</formula>
    </cfRule>
  </conditionalFormatting>
  <conditionalFormatting sqref="E143">
    <cfRule type="containsText" dxfId="235" priority="325" operator="containsText" text="Sin Información">
      <formula>NOT(ISERROR(SEARCH("Sin Información",E143)))</formula>
    </cfRule>
  </conditionalFormatting>
  <conditionalFormatting sqref="E143">
    <cfRule type="expression" dxfId="234" priority="324">
      <formula>E143&lt;&gt;""</formula>
    </cfRule>
  </conditionalFormatting>
  <conditionalFormatting sqref="G118">
    <cfRule type="expression" dxfId="233" priority="314">
      <formula>G118&lt;&gt;""</formula>
    </cfRule>
  </conditionalFormatting>
  <conditionalFormatting sqref="F118">
    <cfRule type="expression" dxfId="232" priority="313">
      <formula>F118&lt;&gt;""</formula>
    </cfRule>
  </conditionalFormatting>
  <conditionalFormatting sqref="E118">
    <cfRule type="containsText" dxfId="231" priority="308" operator="containsText" text="NUEVO">
      <formula>NOT(ISERROR(SEARCH("NUEVO",E118)))</formula>
    </cfRule>
  </conditionalFormatting>
  <conditionalFormatting sqref="E118">
    <cfRule type="containsText" dxfId="230" priority="307" operator="containsText" text="Sin Información">
      <formula>NOT(ISERROR(SEARCH("Sin Información",E118)))</formula>
    </cfRule>
  </conditionalFormatting>
  <conditionalFormatting sqref="E118">
    <cfRule type="expression" dxfId="229" priority="306">
      <formula>E118&lt;&gt;""</formula>
    </cfRule>
  </conditionalFormatting>
  <conditionalFormatting sqref="G119">
    <cfRule type="expression" dxfId="228" priority="305">
      <formula>G119&lt;&gt;""</formula>
    </cfRule>
  </conditionalFormatting>
  <conditionalFormatting sqref="F119">
    <cfRule type="expression" dxfId="227" priority="304">
      <formula>F119&lt;&gt;""</formula>
    </cfRule>
  </conditionalFormatting>
  <conditionalFormatting sqref="E119">
    <cfRule type="containsText" dxfId="226" priority="303" operator="containsText" text="NUEVO">
      <formula>NOT(ISERROR(SEARCH("NUEVO",E119)))</formula>
    </cfRule>
  </conditionalFormatting>
  <conditionalFormatting sqref="E119">
    <cfRule type="containsText" dxfId="225" priority="302" operator="containsText" text="Sin Información">
      <formula>NOT(ISERROR(SEARCH("Sin Información",E119)))</formula>
    </cfRule>
  </conditionalFormatting>
  <conditionalFormatting sqref="E119">
    <cfRule type="expression" dxfId="224" priority="301">
      <formula>E119&lt;&gt;""</formula>
    </cfRule>
  </conditionalFormatting>
  <conditionalFormatting sqref="I23">
    <cfRule type="expression" dxfId="223" priority="29711">
      <formula>OR(I23&lt;&gt;"", #REF!&lt;&gt;"")</formula>
    </cfRule>
  </conditionalFormatting>
  <conditionalFormatting sqref="E115">
    <cfRule type="containsText" dxfId="222" priority="297" operator="containsText" text="NUEVO">
      <formula>NOT(ISERROR(SEARCH("NUEVO",E115)))</formula>
    </cfRule>
  </conditionalFormatting>
  <conditionalFormatting sqref="E115">
    <cfRule type="containsText" dxfId="221" priority="296" operator="containsText" text="Sin Información">
      <formula>NOT(ISERROR(SEARCH("Sin Información",E115)))</formula>
    </cfRule>
  </conditionalFormatting>
  <conditionalFormatting sqref="E115:F115">
    <cfRule type="expression" dxfId="220" priority="295">
      <formula>E115&lt;&gt;""</formula>
    </cfRule>
  </conditionalFormatting>
  <conditionalFormatting sqref="C121:D121">
    <cfRule type="containsText" dxfId="219" priority="267" operator="containsText" text="NO+$D$4:$D$10">
      <formula>NOT(ISERROR(SEARCH("NO+$D$4:$D$10",C121)))</formula>
    </cfRule>
  </conditionalFormatting>
  <conditionalFormatting sqref="C121:D121">
    <cfRule type="containsText" dxfId="218" priority="265" operator="containsText" text="SI">
      <formula>NOT(ISERROR(SEARCH("SI",C121)))</formula>
    </cfRule>
    <cfRule type="containsText" dxfId="217" priority="266" operator="containsText" text="NO">
      <formula>NOT(ISERROR(SEARCH("NO",C121)))</formula>
    </cfRule>
  </conditionalFormatting>
  <conditionalFormatting sqref="E117">
    <cfRule type="containsText" dxfId="216" priority="291" operator="containsText" text="NUEVO">
      <formula>NOT(ISERROR(SEARCH("NUEVO",E117)))</formula>
    </cfRule>
  </conditionalFormatting>
  <conditionalFormatting sqref="E117">
    <cfRule type="containsText" dxfId="215" priority="290" operator="containsText" text="Sin Información">
      <formula>NOT(ISERROR(SEARCH("Sin Información",E117)))</formula>
    </cfRule>
  </conditionalFormatting>
  <conditionalFormatting sqref="E117:F117">
    <cfRule type="expression" dxfId="214" priority="289">
      <formula>E117&lt;&gt;""</formula>
    </cfRule>
  </conditionalFormatting>
  <conditionalFormatting sqref="I116:J116">
    <cfRule type="expression" dxfId="213" priority="288">
      <formula>OR(I116&lt;&gt;"", J116&lt;&gt;"")</formula>
    </cfRule>
  </conditionalFormatting>
  <conditionalFormatting sqref="C122:D122">
    <cfRule type="containsText" dxfId="212" priority="257" operator="containsText" text="NO+$D$4:$D$10">
      <formula>NOT(ISERROR(SEARCH("NO+$D$4:$D$10",C122)))</formula>
    </cfRule>
  </conditionalFormatting>
  <conditionalFormatting sqref="C122:D122">
    <cfRule type="containsText" dxfId="211" priority="255" operator="containsText" text="SI">
      <formula>NOT(ISERROR(SEARCH("SI",C122)))</formula>
    </cfRule>
    <cfRule type="containsText" dxfId="210" priority="256" operator="containsText" text="NO">
      <formula>NOT(ISERROR(SEARCH("NO",C122)))</formula>
    </cfRule>
  </conditionalFormatting>
  <conditionalFormatting sqref="E116">
    <cfRule type="containsText" dxfId="209" priority="284" operator="containsText" text="NUEVO">
      <formula>NOT(ISERROR(SEARCH("NUEVO",E116)))</formula>
    </cfRule>
  </conditionalFormatting>
  <conditionalFormatting sqref="E116">
    <cfRule type="containsText" dxfId="208" priority="283" operator="containsText" text="Sin Información">
      <formula>NOT(ISERROR(SEARCH("Sin Información",E116)))</formula>
    </cfRule>
  </conditionalFormatting>
  <conditionalFormatting sqref="E116:F116">
    <cfRule type="expression" dxfId="207" priority="282">
      <formula>E116&lt;&gt;""</formula>
    </cfRule>
  </conditionalFormatting>
  <conditionalFormatting sqref="I120:J120">
    <cfRule type="expression" dxfId="206" priority="277">
      <formula>OR(I120&lt;&gt;"", J120&lt;&gt;"")</formula>
    </cfRule>
  </conditionalFormatting>
  <conditionalFormatting sqref="G120">
    <cfRule type="expression" dxfId="205" priority="276">
      <formula>G120&lt;&gt;""</formula>
    </cfRule>
  </conditionalFormatting>
  <conditionalFormatting sqref="F120">
    <cfRule type="expression" dxfId="204" priority="275">
      <formula>F120&lt;&gt;""</formula>
    </cfRule>
  </conditionalFormatting>
  <conditionalFormatting sqref="E120">
    <cfRule type="containsText" dxfId="203" priority="274" operator="containsText" text="NUEVO">
      <formula>NOT(ISERROR(SEARCH("NUEVO",E120)))</formula>
    </cfRule>
  </conditionalFormatting>
  <conditionalFormatting sqref="E120">
    <cfRule type="containsText" dxfId="202" priority="273" operator="containsText" text="Sin Información">
      <formula>NOT(ISERROR(SEARCH("Sin Información",E120)))</formula>
    </cfRule>
  </conditionalFormatting>
  <conditionalFormatting sqref="E120">
    <cfRule type="expression" dxfId="201" priority="272">
      <formula>E120&lt;&gt;""</formula>
    </cfRule>
  </conditionalFormatting>
  <conditionalFormatting sqref="C124:D124">
    <cfRule type="containsText" dxfId="200" priority="240" operator="containsText" text="NO+$D$4:$D$10">
      <formula>NOT(ISERROR(SEARCH("NO+$D$4:$D$10",C124)))</formula>
    </cfRule>
  </conditionalFormatting>
  <conditionalFormatting sqref="C124:D124">
    <cfRule type="containsText" dxfId="199" priority="238" operator="containsText" text="SI">
      <formula>NOT(ISERROR(SEARCH("SI",C124)))</formula>
    </cfRule>
    <cfRule type="containsText" dxfId="198" priority="239" operator="containsText" text="NO">
      <formula>NOT(ISERROR(SEARCH("NO",C124)))</formula>
    </cfRule>
  </conditionalFormatting>
  <conditionalFormatting sqref="C121:D121">
    <cfRule type="containsText" dxfId="197" priority="264" operator="containsText" text="NUEVO">
      <formula>NOT(ISERROR(SEARCH("NUEVO",C121)))</formula>
    </cfRule>
  </conditionalFormatting>
  <conditionalFormatting sqref="I121:J121">
    <cfRule type="expression" dxfId="196" priority="263">
      <formula>OR(I121&lt;&gt;"", J121&lt;&gt;"")</formula>
    </cfRule>
  </conditionalFormatting>
  <conditionalFormatting sqref="G121">
    <cfRule type="expression" dxfId="195" priority="262">
      <formula>G121&lt;&gt;""</formula>
    </cfRule>
  </conditionalFormatting>
  <conditionalFormatting sqref="F121">
    <cfRule type="expression" dxfId="194" priority="261">
      <formula>F121&lt;&gt;""</formula>
    </cfRule>
  </conditionalFormatting>
  <conditionalFormatting sqref="E121">
    <cfRule type="containsText" dxfId="193" priority="260" operator="containsText" text="NUEVO">
      <formula>NOT(ISERROR(SEARCH("NUEVO",E121)))</formula>
    </cfRule>
  </conditionalFormatting>
  <conditionalFormatting sqref="E121">
    <cfRule type="containsText" dxfId="192" priority="259" operator="containsText" text="Sin Información">
      <formula>NOT(ISERROR(SEARCH("Sin Información",E121)))</formula>
    </cfRule>
  </conditionalFormatting>
  <conditionalFormatting sqref="E121">
    <cfRule type="expression" dxfId="191" priority="258">
      <formula>E121&lt;&gt;""</formula>
    </cfRule>
  </conditionalFormatting>
  <conditionalFormatting sqref="C123:D123">
    <cfRule type="containsText" dxfId="190" priority="247" operator="containsText" text="NO+$D$4:$D$10">
      <formula>NOT(ISERROR(SEARCH("NO+$D$4:$D$10",C123)))</formula>
    </cfRule>
  </conditionalFormatting>
  <conditionalFormatting sqref="C123:D123">
    <cfRule type="containsText" dxfId="189" priority="245" operator="containsText" text="SI">
      <formula>NOT(ISERROR(SEARCH("SI",C123)))</formula>
    </cfRule>
    <cfRule type="containsText" dxfId="188" priority="246" operator="containsText" text="NO">
      <formula>NOT(ISERROR(SEARCH("NO",C123)))</formula>
    </cfRule>
  </conditionalFormatting>
  <conditionalFormatting sqref="C122:D122">
    <cfRule type="containsText" dxfId="187" priority="254" operator="containsText" text="NUEVO">
      <formula>NOT(ISERROR(SEARCH("NUEVO",C122)))</formula>
    </cfRule>
  </conditionalFormatting>
  <conditionalFormatting sqref="I122:J123">
    <cfRule type="expression" dxfId="186" priority="253">
      <formula>OR(I122&lt;&gt;"", J122&lt;&gt;"")</formula>
    </cfRule>
  </conditionalFormatting>
  <conditionalFormatting sqref="G122:G123">
    <cfRule type="expression" dxfId="185" priority="252">
      <formula>G122&lt;&gt;""</formula>
    </cfRule>
  </conditionalFormatting>
  <conditionalFormatting sqref="F122:F123">
    <cfRule type="expression" dxfId="184" priority="251">
      <formula>F122&lt;&gt;""</formula>
    </cfRule>
  </conditionalFormatting>
  <conditionalFormatting sqref="E122">
    <cfRule type="containsText" dxfId="183" priority="250" operator="containsText" text="NUEVO">
      <formula>NOT(ISERROR(SEARCH("NUEVO",E122)))</formula>
    </cfRule>
  </conditionalFormatting>
  <conditionalFormatting sqref="E122">
    <cfRule type="containsText" dxfId="182" priority="249" operator="containsText" text="Sin Información">
      <formula>NOT(ISERROR(SEARCH("Sin Información",E122)))</formula>
    </cfRule>
  </conditionalFormatting>
  <conditionalFormatting sqref="E122">
    <cfRule type="expression" dxfId="181" priority="248">
      <formula>E122&lt;&gt;""</formula>
    </cfRule>
  </conditionalFormatting>
  <conditionalFormatting sqref="C123:D123">
    <cfRule type="containsText" dxfId="180" priority="244" operator="containsText" text="NUEVO">
      <formula>NOT(ISERROR(SEARCH("NUEVO",C123)))</formula>
    </cfRule>
  </conditionalFormatting>
  <conditionalFormatting sqref="E123">
    <cfRule type="containsText" dxfId="179" priority="243" operator="containsText" text="NUEVO">
      <formula>NOT(ISERROR(SEARCH("NUEVO",E123)))</formula>
    </cfRule>
  </conditionalFormatting>
  <conditionalFormatting sqref="E123">
    <cfRule type="containsText" dxfId="178" priority="242" operator="containsText" text="Sin Información">
      <formula>NOT(ISERROR(SEARCH("Sin Información",E123)))</formula>
    </cfRule>
  </conditionalFormatting>
  <conditionalFormatting sqref="E123">
    <cfRule type="expression" dxfId="177" priority="241">
      <formula>E123&lt;&gt;""</formula>
    </cfRule>
  </conditionalFormatting>
  <conditionalFormatting sqref="C125:D125">
    <cfRule type="containsText" dxfId="176" priority="230" operator="containsText" text="NO+$D$4:$D$10">
      <formula>NOT(ISERROR(SEARCH("NO+$D$4:$D$10",C125)))</formula>
    </cfRule>
  </conditionalFormatting>
  <conditionalFormatting sqref="C125:D125">
    <cfRule type="containsText" dxfId="175" priority="228" operator="containsText" text="SI">
      <formula>NOT(ISERROR(SEARCH("SI",C125)))</formula>
    </cfRule>
    <cfRule type="containsText" dxfId="174" priority="229" operator="containsText" text="NO">
      <formula>NOT(ISERROR(SEARCH("NO",C125)))</formula>
    </cfRule>
  </conditionalFormatting>
  <conditionalFormatting sqref="C124:D124">
    <cfRule type="containsText" dxfId="173" priority="237" operator="containsText" text="NUEVO">
      <formula>NOT(ISERROR(SEARCH("NUEVO",C124)))</formula>
    </cfRule>
  </conditionalFormatting>
  <conditionalFormatting sqref="I124:J124">
    <cfRule type="expression" dxfId="172" priority="236">
      <formula>OR(I124&lt;&gt;"", J124&lt;&gt;"")</formula>
    </cfRule>
  </conditionalFormatting>
  <conditionalFormatting sqref="G124">
    <cfRule type="expression" dxfId="171" priority="235">
      <formula>G124&lt;&gt;""</formula>
    </cfRule>
  </conditionalFormatting>
  <conditionalFormatting sqref="F124">
    <cfRule type="expression" dxfId="170" priority="234">
      <formula>F124&lt;&gt;""</formula>
    </cfRule>
  </conditionalFormatting>
  <conditionalFormatting sqref="E124">
    <cfRule type="containsText" dxfId="169" priority="233" operator="containsText" text="NUEVO">
      <formula>NOT(ISERROR(SEARCH("NUEVO",E124)))</formula>
    </cfRule>
  </conditionalFormatting>
  <conditionalFormatting sqref="E124">
    <cfRule type="containsText" dxfId="168" priority="232" operator="containsText" text="Sin Información">
      <formula>NOT(ISERROR(SEARCH("Sin Información",E124)))</formula>
    </cfRule>
  </conditionalFormatting>
  <conditionalFormatting sqref="E124">
    <cfRule type="expression" dxfId="167" priority="231">
      <formula>E124&lt;&gt;""</formula>
    </cfRule>
  </conditionalFormatting>
  <conditionalFormatting sqref="C126:D126">
    <cfRule type="containsText" dxfId="166" priority="220" operator="containsText" text="NO+$D$4:$D$10">
      <formula>NOT(ISERROR(SEARCH("NO+$D$4:$D$10",C126)))</formula>
    </cfRule>
  </conditionalFormatting>
  <conditionalFormatting sqref="C126:D126">
    <cfRule type="containsText" dxfId="165" priority="218" operator="containsText" text="SI">
      <formula>NOT(ISERROR(SEARCH("SI",C126)))</formula>
    </cfRule>
    <cfRule type="containsText" dxfId="164" priority="219" operator="containsText" text="NO">
      <formula>NOT(ISERROR(SEARCH("NO",C126)))</formula>
    </cfRule>
  </conditionalFormatting>
  <conditionalFormatting sqref="C125:D125">
    <cfRule type="containsText" dxfId="163" priority="227" operator="containsText" text="NUEVO">
      <formula>NOT(ISERROR(SEARCH("NUEVO",C125)))</formula>
    </cfRule>
  </conditionalFormatting>
  <conditionalFormatting sqref="I125:J125">
    <cfRule type="expression" dxfId="162" priority="226">
      <formula>OR(I125&lt;&gt;"", J125&lt;&gt;"")</formula>
    </cfRule>
  </conditionalFormatting>
  <conditionalFormatting sqref="G125">
    <cfRule type="expression" dxfId="161" priority="225">
      <formula>G125&lt;&gt;""</formula>
    </cfRule>
  </conditionalFormatting>
  <conditionalFormatting sqref="F125">
    <cfRule type="expression" dxfId="160" priority="224">
      <formula>F125&lt;&gt;""</formula>
    </cfRule>
  </conditionalFormatting>
  <conditionalFormatting sqref="E125">
    <cfRule type="containsText" dxfId="159" priority="223" operator="containsText" text="NUEVO">
      <formula>NOT(ISERROR(SEARCH("NUEVO",E125)))</formula>
    </cfRule>
  </conditionalFormatting>
  <conditionalFormatting sqref="E125">
    <cfRule type="containsText" dxfId="158" priority="222" operator="containsText" text="Sin Información">
      <formula>NOT(ISERROR(SEARCH("Sin Información",E125)))</formula>
    </cfRule>
  </conditionalFormatting>
  <conditionalFormatting sqref="E125">
    <cfRule type="expression" dxfId="157" priority="221">
      <formula>E125&lt;&gt;""</formula>
    </cfRule>
  </conditionalFormatting>
  <conditionalFormatting sqref="C127:D127">
    <cfRule type="containsText" dxfId="156" priority="210" operator="containsText" text="NO+$D$4:$D$10">
      <formula>NOT(ISERROR(SEARCH("NO+$D$4:$D$10",C127)))</formula>
    </cfRule>
  </conditionalFormatting>
  <conditionalFormatting sqref="C127:D127">
    <cfRule type="containsText" dxfId="155" priority="208" operator="containsText" text="SI">
      <formula>NOT(ISERROR(SEARCH("SI",C127)))</formula>
    </cfRule>
    <cfRule type="containsText" dxfId="154" priority="209" operator="containsText" text="NO">
      <formula>NOT(ISERROR(SEARCH("NO",C127)))</formula>
    </cfRule>
  </conditionalFormatting>
  <conditionalFormatting sqref="C126:D126">
    <cfRule type="containsText" dxfId="153" priority="217" operator="containsText" text="NUEVO">
      <formula>NOT(ISERROR(SEARCH("NUEVO",C126)))</formula>
    </cfRule>
  </conditionalFormatting>
  <conditionalFormatting sqref="I126:J126">
    <cfRule type="expression" dxfId="152" priority="216">
      <formula>OR(I126&lt;&gt;"", J126&lt;&gt;"")</formula>
    </cfRule>
  </conditionalFormatting>
  <conditionalFormatting sqref="G126">
    <cfRule type="expression" dxfId="151" priority="215">
      <formula>G126&lt;&gt;""</formula>
    </cfRule>
  </conditionalFormatting>
  <conditionalFormatting sqref="F126">
    <cfRule type="expression" dxfId="150" priority="214">
      <formula>F126&lt;&gt;""</formula>
    </cfRule>
  </conditionalFormatting>
  <conditionalFormatting sqref="E126">
    <cfRule type="containsText" dxfId="149" priority="213" operator="containsText" text="NUEVO">
      <formula>NOT(ISERROR(SEARCH("NUEVO",E126)))</formula>
    </cfRule>
  </conditionalFormatting>
  <conditionalFormatting sqref="E126">
    <cfRule type="containsText" dxfId="148" priority="212" operator="containsText" text="Sin Información">
      <formula>NOT(ISERROR(SEARCH("Sin Información",E126)))</formula>
    </cfRule>
  </conditionalFormatting>
  <conditionalFormatting sqref="E126">
    <cfRule type="expression" dxfId="147" priority="211">
      <formula>E126&lt;&gt;""</formula>
    </cfRule>
  </conditionalFormatting>
  <conditionalFormatting sqref="C128:D128">
    <cfRule type="containsText" dxfId="146" priority="200" operator="containsText" text="NO+$D$4:$D$10">
      <formula>NOT(ISERROR(SEARCH("NO+$D$4:$D$10",C128)))</formula>
    </cfRule>
  </conditionalFormatting>
  <conditionalFormatting sqref="C128:D128">
    <cfRule type="containsText" dxfId="145" priority="198" operator="containsText" text="SI">
      <formula>NOT(ISERROR(SEARCH("SI",C128)))</formula>
    </cfRule>
    <cfRule type="containsText" dxfId="144" priority="199" operator="containsText" text="NO">
      <formula>NOT(ISERROR(SEARCH("NO",C128)))</formula>
    </cfRule>
  </conditionalFormatting>
  <conditionalFormatting sqref="C127:D127">
    <cfRule type="containsText" dxfId="143" priority="207" operator="containsText" text="NUEVO">
      <formula>NOT(ISERROR(SEARCH("NUEVO",C127)))</formula>
    </cfRule>
  </conditionalFormatting>
  <conditionalFormatting sqref="I127:J127">
    <cfRule type="expression" dxfId="142" priority="206">
      <formula>OR(I127&lt;&gt;"", J127&lt;&gt;"")</formula>
    </cfRule>
  </conditionalFormatting>
  <conditionalFormatting sqref="G127">
    <cfRule type="expression" dxfId="141" priority="205">
      <formula>G127&lt;&gt;""</formula>
    </cfRule>
  </conditionalFormatting>
  <conditionalFormatting sqref="F127">
    <cfRule type="expression" dxfId="140" priority="204">
      <formula>F127&lt;&gt;""</formula>
    </cfRule>
  </conditionalFormatting>
  <conditionalFormatting sqref="E127">
    <cfRule type="containsText" dxfId="139" priority="203" operator="containsText" text="NUEVO">
      <formula>NOT(ISERROR(SEARCH("NUEVO",E127)))</formula>
    </cfRule>
  </conditionalFormatting>
  <conditionalFormatting sqref="E127">
    <cfRule type="containsText" dxfId="138" priority="202" operator="containsText" text="Sin Información">
      <formula>NOT(ISERROR(SEARCH("Sin Información",E127)))</formula>
    </cfRule>
  </conditionalFormatting>
  <conditionalFormatting sqref="E127">
    <cfRule type="expression" dxfId="137" priority="201">
      <formula>E127&lt;&gt;""</formula>
    </cfRule>
  </conditionalFormatting>
  <conditionalFormatting sqref="C129:D129">
    <cfRule type="containsText" dxfId="136" priority="190" operator="containsText" text="NO+$D$4:$D$10">
      <formula>NOT(ISERROR(SEARCH("NO+$D$4:$D$10",C129)))</formula>
    </cfRule>
  </conditionalFormatting>
  <conditionalFormatting sqref="C129:D129">
    <cfRule type="containsText" dxfId="135" priority="188" operator="containsText" text="SI">
      <formula>NOT(ISERROR(SEARCH("SI",C129)))</formula>
    </cfRule>
    <cfRule type="containsText" dxfId="134" priority="189" operator="containsText" text="NO">
      <formula>NOT(ISERROR(SEARCH("NO",C129)))</formula>
    </cfRule>
  </conditionalFormatting>
  <conditionalFormatting sqref="C128:D128">
    <cfRule type="containsText" dxfId="133" priority="197" operator="containsText" text="NUEVO">
      <formula>NOT(ISERROR(SEARCH("NUEVO",C128)))</formula>
    </cfRule>
  </conditionalFormatting>
  <conditionalFormatting sqref="I128:J128">
    <cfRule type="expression" dxfId="132" priority="196">
      <formula>OR(I128&lt;&gt;"", J128&lt;&gt;"")</formula>
    </cfRule>
  </conditionalFormatting>
  <conditionalFormatting sqref="G128">
    <cfRule type="expression" dxfId="131" priority="195">
      <formula>G128&lt;&gt;""</formula>
    </cfRule>
  </conditionalFormatting>
  <conditionalFormatting sqref="F128">
    <cfRule type="expression" dxfId="130" priority="194">
      <formula>F128&lt;&gt;""</formula>
    </cfRule>
  </conditionalFormatting>
  <conditionalFormatting sqref="E128">
    <cfRule type="containsText" dxfId="129" priority="193" operator="containsText" text="NUEVO">
      <formula>NOT(ISERROR(SEARCH("NUEVO",E128)))</formula>
    </cfRule>
  </conditionalFormatting>
  <conditionalFormatting sqref="E128">
    <cfRule type="containsText" dxfId="128" priority="192" operator="containsText" text="Sin Información">
      <formula>NOT(ISERROR(SEARCH("Sin Información",E128)))</formula>
    </cfRule>
  </conditionalFormatting>
  <conditionalFormatting sqref="E128">
    <cfRule type="expression" dxfId="127" priority="191">
      <formula>E128&lt;&gt;""</formula>
    </cfRule>
  </conditionalFormatting>
  <conditionalFormatting sqref="C130:D130">
    <cfRule type="containsText" dxfId="126" priority="180" operator="containsText" text="NO+$D$4:$D$10">
      <formula>NOT(ISERROR(SEARCH("NO+$D$4:$D$10",C130)))</formula>
    </cfRule>
  </conditionalFormatting>
  <conditionalFormatting sqref="C130:D130">
    <cfRule type="containsText" dxfId="125" priority="178" operator="containsText" text="SI">
      <formula>NOT(ISERROR(SEARCH("SI",C130)))</formula>
    </cfRule>
    <cfRule type="containsText" dxfId="124" priority="179" operator="containsText" text="NO">
      <formula>NOT(ISERROR(SEARCH("NO",C130)))</formula>
    </cfRule>
  </conditionalFormatting>
  <conditionalFormatting sqref="C129:D129">
    <cfRule type="containsText" dxfId="123" priority="187" operator="containsText" text="NUEVO">
      <formula>NOT(ISERROR(SEARCH("NUEVO",C129)))</formula>
    </cfRule>
  </conditionalFormatting>
  <conditionalFormatting sqref="I129:J129">
    <cfRule type="expression" dxfId="122" priority="186">
      <formula>OR(I129&lt;&gt;"", J129&lt;&gt;"")</formula>
    </cfRule>
  </conditionalFormatting>
  <conditionalFormatting sqref="G129">
    <cfRule type="expression" dxfId="121" priority="185">
      <formula>G129&lt;&gt;""</formula>
    </cfRule>
  </conditionalFormatting>
  <conditionalFormatting sqref="F129">
    <cfRule type="expression" dxfId="120" priority="184">
      <formula>F129&lt;&gt;""</formula>
    </cfRule>
  </conditionalFormatting>
  <conditionalFormatting sqref="E129">
    <cfRule type="containsText" dxfId="119" priority="183" operator="containsText" text="NUEVO">
      <formula>NOT(ISERROR(SEARCH("NUEVO",E129)))</formula>
    </cfRule>
  </conditionalFormatting>
  <conditionalFormatting sqref="E129">
    <cfRule type="containsText" dxfId="118" priority="182" operator="containsText" text="Sin Información">
      <formula>NOT(ISERROR(SEARCH("Sin Información",E129)))</formula>
    </cfRule>
  </conditionalFormatting>
  <conditionalFormatting sqref="E129">
    <cfRule type="expression" dxfId="117" priority="181">
      <formula>E129&lt;&gt;""</formula>
    </cfRule>
  </conditionalFormatting>
  <conditionalFormatting sqref="C131:D131">
    <cfRule type="containsText" dxfId="116" priority="170" operator="containsText" text="NO+$D$4:$D$10">
      <formula>NOT(ISERROR(SEARCH("NO+$D$4:$D$10",C131)))</formula>
    </cfRule>
  </conditionalFormatting>
  <conditionalFormatting sqref="C131:D131">
    <cfRule type="containsText" dxfId="115" priority="168" operator="containsText" text="SI">
      <formula>NOT(ISERROR(SEARCH("SI",C131)))</formula>
    </cfRule>
    <cfRule type="containsText" dxfId="114" priority="169" operator="containsText" text="NO">
      <formula>NOT(ISERROR(SEARCH("NO",C131)))</formula>
    </cfRule>
  </conditionalFormatting>
  <conditionalFormatting sqref="C130:D130">
    <cfRule type="containsText" dxfId="113" priority="177" operator="containsText" text="NUEVO">
      <formula>NOT(ISERROR(SEARCH("NUEVO",C130)))</formula>
    </cfRule>
  </conditionalFormatting>
  <conditionalFormatting sqref="I130:J130">
    <cfRule type="expression" dxfId="112" priority="176">
      <formula>OR(I130&lt;&gt;"", J130&lt;&gt;"")</formula>
    </cfRule>
  </conditionalFormatting>
  <conditionalFormatting sqref="G130">
    <cfRule type="expression" dxfId="111" priority="175">
      <formula>G130&lt;&gt;""</formula>
    </cfRule>
  </conditionalFormatting>
  <conditionalFormatting sqref="F130">
    <cfRule type="expression" dxfId="110" priority="174">
      <formula>F130&lt;&gt;""</formula>
    </cfRule>
  </conditionalFormatting>
  <conditionalFormatting sqref="E130">
    <cfRule type="containsText" dxfId="109" priority="173" operator="containsText" text="NUEVO">
      <formula>NOT(ISERROR(SEARCH("NUEVO",E130)))</formula>
    </cfRule>
  </conditionalFormatting>
  <conditionalFormatting sqref="E130">
    <cfRule type="containsText" dxfId="108" priority="172" operator="containsText" text="Sin Información">
      <formula>NOT(ISERROR(SEARCH("Sin Información",E130)))</formula>
    </cfRule>
  </conditionalFormatting>
  <conditionalFormatting sqref="E130">
    <cfRule type="expression" dxfId="107" priority="171">
      <formula>E130&lt;&gt;""</formula>
    </cfRule>
  </conditionalFormatting>
  <conditionalFormatting sqref="C132:D132">
    <cfRule type="containsText" dxfId="106" priority="160" operator="containsText" text="NO+$D$4:$D$10">
      <formula>NOT(ISERROR(SEARCH("NO+$D$4:$D$10",C132)))</formula>
    </cfRule>
  </conditionalFormatting>
  <conditionalFormatting sqref="C132:D132">
    <cfRule type="containsText" dxfId="105" priority="158" operator="containsText" text="SI">
      <formula>NOT(ISERROR(SEARCH("SI",C132)))</formula>
    </cfRule>
    <cfRule type="containsText" dxfId="104" priority="159" operator="containsText" text="NO">
      <formula>NOT(ISERROR(SEARCH("NO",C132)))</formula>
    </cfRule>
  </conditionalFormatting>
  <conditionalFormatting sqref="C131:D131">
    <cfRule type="containsText" dxfId="103" priority="167" operator="containsText" text="NUEVO">
      <formula>NOT(ISERROR(SEARCH("NUEVO",C131)))</formula>
    </cfRule>
  </conditionalFormatting>
  <conditionalFormatting sqref="I131:J131">
    <cfRule type="expression" dxfId="102" priority="166">
      <formula>OR(I131&lt;&gt;"", J131&lt;&gt;"")</formula>
    </cfRule>
  </conditionalFormatting>
  <conditionalFormatting sqref="G131">
    <cfRule type="expression" dxfId="101" priority="165">
      <formula>G131&lt;&gt;""</formula>
    </cfRule>
  </conditionalFormatting>
  <conditionalFormatting sqref="F131">
    <cfRule type="expression" dxfId="100" priority="164">
      <formula>F131&lt;&gt;""</formula>
    </cfRule>
  </conditionalFormatting>
  <conditionalFormatting sqref="E131">
    <cfRule type="containsText" dxfId="99" priority="163" operator="containsText" text="NUEVO">
      <formula>NOT(ISERROR(SEARCH("NUEVO",E131)))</formula>
    </cfRule>
  </conditionalFormatting>
  <conditionalFormatting sqref="E131">
    <cfRule type="containsText" dxfId="98" priority="162" operator="containsText" text="Sin Información">
      <formula>NOT(ISERROR(SEARCH("Sin Información",E131)))</formula>
    </cfRule>
  </conditionalFormatting>
  <conditionalFormatting sqref="E131">
    <cfRule type="expression" dxfId="97" priority="161">
      <formula>E131&lt;&gt;""</formula>
    </cfRule>
  </conditionalFormatting>
  <conditionalFormatting sqref="C137:D137">
    <cfRule type="containsText" dxfId="96" priority="150" operator="containsText" text="NO+$D$4:$D$10">
      <formula>NOT(ISERROR(SEARCH("NO+$D$4:$D$10",C137)))</formula>
    </cfRule>
  </conditionalFormatting>
  <conditionalFormatting sqref="C137:D137">
    <cfRule type="containsText" dxfId="95" priority="148" operator="containsText" text="SI">
      <formula>NOT(ISERROR(SEARCH("SI",C137)))</formula>
    </cfRule>
    <cfRule type="containsText" dxfId="94" priority="149" operator="containsText" text="NO">
      <formula>NOT(ISERROR(SEARCH("NO",C137)))</formula>
    </cfRule>
  </conditionalFormatting>
  <conditionalFormatting sqref="C132:D132">
    <cfRule type="containsText" dxfId="93" priority="157" operator="containsText" text="NUEVO">
      <formula>NOT(ISERROR(SEARCH("NUEVO",C132)))</formula>
    </cfRule>
  </conditionalFormatting>
  <conditionalFormatting sqref="I132:J132">
    <cfRule type="expression" dxfId="92" priority="156">
      <formula>OR(I132&lt;&gt;"", J132&lt;&gt;"")</formula>
    </cfRule>
  </conditionalFormatting>
  <conditionalFormatting sqref="G132">
    <cfRule type="expression" dxfId="91" priority="155">
      <formula>G132&lt;&gt;""</formula>
    </cfRule>
  </conditionalFormatting>
  <conditionalFormatting sqref="F132">
    <cfRule type="expression" dxfId="90" priority="154">
      <formula>F132&lt;&gt;""</formula>
    </cfRule>
  </conditionalFormatting>
  <conditionalFormatting sqref="E132">
    <cfRule type="containsText" dxfId="89" priority="153" operator="containsText" text="NUEVO">
      <formula>NOT(ISERROR(SEARCH("NUEVO",E132)))</formula>
    </cfRule>
  </conditionalFormatting>
  <conditionalFormatting sqref="E132">
    <cfRule type="containsText" dxfId="88" priority="152" operator="containsText" text="Sin Información">
      <formula>NOT(ISERROR(SEARCH("Sin Información",E132)))</formula>
    </cfRule>
  </conditionalFormatting>
  <conditionalFormatting sqref="E132">
    <cfRule type="expression" dxfId="87" priority="151">
      <formula>E132&lt;&gt;""</formula>
    </cfRule>
  </conditionalFormatting>
  <conditionalFormatting sqref="C136:D136">
    <cfRule type="containsText" dxfId="86" priority="120" operator="containsText" text="NO+$D$4:$D$10">
      <formula>NOT(ISERROR(SEARCH("NO+$D$4:$D$10",C136)))</formula>
    </cfRule>
  </conditionalFormatting>
  <conditionalFormatting sqref="C136:D136">
    <cfRule type="containsText" dxfId="85" priority="118" operator="containsText" text="SI">
      <formula>NOT(ISERROR(SEARCH("SI",C136)))</formula>
    </cfRule>
    <cfRule type="containsText" dxfId="84" priority="119" operator="containsText" text="NO">
      <formula>NOT(ISERROR(SEARCH("NO",C136)))</formula>
    </cfRule>
  </conditionalFormatting>
  <conditionalFormatting sqref="C137:D137">
    <cfRule type="containsText" dxfId="83" priority="147" operator="containsText" text="NUEVO">
      <formula>NOT(ISERROR(SEARCH("NUEVO",C137)))</formula>
    </cfRule>
  </conditionalFormatting>
  <conditionalFormatting sqref="I137:J137">
    <cfRule type="expression" dxfId="82" priority="146">
      <formula>OR(I137&lt;&gt;"", J137&lt;&gt;"")</formula>
    </cfRule>
  </conditionalFormatting>
  <conditionalFormatting sqref="G137">
    <cfRule type="expression" dxfId="81" priority="145">
      <formula>G137&lt;&gt;""</formula>
    </cfRule>
  </conditionalFormatting>
  <conditionalFormatting sqref="F137">
    <cfRule type="expression" dxfId="80" priority="144">
      <formula>F137&lt;&gt;""</formula>
    </cfRule>
  </conditionalFormatting>
  <conditionalFormatting sqref="E137">
    <cfRule type="containsText" dxfId="79" priority="143" operator="containsText" text="NUEVO">
      <formula>NOT(ISERROR(SEARCH("NUEVO",E137)))</formula>
    </cfRule>
  </conditionalFormatting>
  <conditionalFormatting sqref="E137">
    <cfRule type="containsText" dxfId="78" priority="142" operator="containsText" text="Sin Información">
      <formula>NOT(ISERROR(SEARCH("Sin Información",E137)))</formula>
    </cfRule>
  </conditionalFormatting>
  <conditionalFormatting sqref="E137">
    <cfRule type="expression" dxfId="77" priority="141">
      <formula>E137&lt;&gt;""</formula>
    </cfRule>
  </conditionalFormatting>
  <conditionalFormatting sqref="C135:D135">
    <cfRule type="containsText" dxfId="76" priority="110" operator="containsText" text="NO+$D$4:$D$10">
      <formula>NOT(ISERROR(SEARCH("NO+$D$4:$D$10",C135)))</formula>
    </cfRule>
  </conditionalFormatting>
  <conditionalFormatting sqref="C135:D135">
    <cfRule type="containsText" dxfId="75" priority="108" operator="containsText" text="SI">
      <formula>NOT(ISERROR(SEARCH("SI",C135)))</formula>
    </cfRule>
    <cfRule type="containsText" dxfId="74" priority="109" operator="containsText" text="NO">
      <formula>NOT(ISERROR(SEARCH("NO",C135)))</formula>
    </cfRule>
  </conditionalFormatting>
  <conditionalFormatting sqref="C136:D136">
    <cfRule type="containsText" dxfId="73" priority="117" operator="containsText" text="NUEVO">
      <formula>NOT(ISERROR(SEARCH("NUEVO",C136)))</formula>
    </cfRule>
  </conditionalFormatting>
  <conditionalFormatting sqref="I136:J136">
    <cfRule type="expression" dxfId="72" priority="116">
      <formula>OR(I136&lt;&gt;"", J136&lt;&gt;"")</formula>
    </cfRule>
  </conditionalFormatting>
  <conditionalFormatting sqref="G136">
    <cfRule type="expression" dxfId="71" priority="115">
      <formula>G136&lt;&gt;""</formula>
    </cfRule>
  </conditionalFormatting>
  <conditionalFormatting sqref="F136">
    <cfRule type="expression" dxfId="70" priority="114">
      <formula>F136&lt;&gt;""</formula>
    </cfRule>
  </conditionalFormatting>
  <conditionalFormatting sqref="E136">
    <cfRule type="containsText" dxfId="69" priority="113" operator="containsText" text="NUEVO">
      <formula>NOT(ISERROR(SEARCH("NUEVO",E136)))</formula>
    </cfRule>
  </conditionalFormatting>
  <conditionalFormatting sqref="E136">
    <cfRule type="containsText" dxfId="68" priority="112" operator="containsText" text="Sin Información">
      <formula>NOT(ISERROR(SEARCH("Sin Información",E136)))</formula>
    </cfRule>
  </conditionalFormatting>
  <conditionalFormatting sqref="E136">
    <cfRule type="expression" dxfId="67" priority="111">
      <formula>E136&lt;&gt;""</formula>
    </cfRule>
  </conditionalFormatting>
  <conditionalFormatting sqref="C134:D134">
    <cfRule type="containsText" dxfId="66" priority="100" operator="containsText" text="NO+$D$4:$D$10">
      <formula>NOT(ISERROR(SEARCH("NO+$D$4:$D$10",C134)))</formula>
    </cfRule>
  </conditionalFormatting>
  <conditionalFormatting sqref="C134:D134">
    <cfRule type="containsText" dxfId="65" priority="98" operator="containsText" text="SI">
      <formula>NOT(ISERROR(SEARCH("SI",C134)))</formula>
    </cfRule>
    <cfRule type="containsText" dxfId="64" priority="99" operator="containsText" text="NO">
      <formula>NOT(ISERROR(SEARCH("NO",C134)))</formula>
    </cfRule>
  </conditionalFormatting>
  <conditionalFormatting sqref="C135:D135">
    <cfRule type="containsText" dxfId="63" priority="107" operator="containsText" text="NUEVO">
      <formula>NOT(ISERROR(SEARCH("NUEVO",C135)))</formula>
    </cfRule>
  </conditionalFormatting>
  <conditionalFormatting sqref="I135:J135">
    <cfRule type="expression" dxfId="62" priority="106">
      <formula>OR(I135&lt;&gt;"", J135&lt;&gt;"")</formula>
    </cfRule>
  </conditionalFormatting>
  <conditionalFormatting sqref="G135">
    <cfRule type="expression" dxfId="61" priority="105">
      <formula>G135&lt;&gt;""</formula>
    </cfRule>
  </conditionalFormatting>
  <conditionalFormatting sqref="F135">
    <cfRule type="expression" dxfId="60" priority="104">
      <formula>F135&lt;&gt;""</formula>
    </cfRule>
  </conditionalFormatting>
  <conditionalFormatting sqref="E135">
    <cfRule type="containsText" dxfId="59" priority="103" operator="containsText" text="NUEVO">
      <formula>NOT(ISERROR(SEARCH("NUEVO",E135)))</formula>
    </cfRule>
  </conditionalFormatting>
  <conditionalFormatting sqref="E135">
    <cfRule type="containsText" dxfId="58" priority="102" operator="containsText" text="Sin Información">
      <formula>NOT(ISERROR(SEARCH("Sin Información",E135)))</formula>
    </cfRule>
  </conditionalFormatting>
  <conditionalFormatting sqref="E135">
    <cfRule type="expression" dxfId="57" priority="101">
      <formula>E135&lt;&gt;""</formula>
    </cfRule>
  </conditionalFormatting>
  <conditionalFormatting sqref="C134:D134">
    <cfRule type="containsText" dxfId="56" priority="97" operator="containsText" text="NUEVO">
      <formula>NOT(ISERROR(SEARCH("NUEVO",C134)))</formula>
    </cfRule>
  </conditionalFormatting>
  <conditionalFormatting sqref="I134:J134">
    <cfRule type="expression" dxfId="55" priority="96">
      <formula>OR(I134&lt;&gt;"", J134&lt;&gt;"")</formula>
    </cfRule>
  </conditionalFormatting>
  <conditionalFormatting sqref="G134">
    <cfRule type="expression" dxfId="54" priority="95">
      <formula>G134&lt;&gt;""</formula>
    </cfRule>
  </conditionalFormatting>
  <conditionalFormatting sqref="F134">
    <cfRule type="expression" dxfId="53" priority="94">
      <formula>F134&lt;&gt;""</formula>
    </cfRule>
  </conditionalFormatting>
  <conditionalFormatting sqref="E134">
    <cfRule type="containsText" dxfId="52" priority="93" operator="containsText" text="NUEVO">
      <formula>NOT(ISERROR(SEARCH("NUEVO",E134)))</formula>
    </cfRule>
  </conditionalFormatting>
  <conditionalFormatting sqref="E134">
    <cfRule type="containsText" dxfId="51" priority="92" operator="containsText" text="Sin Información">
      <formula>NOT(ISERROR(SEARCH("Sin Información",E134)))</formula>
    </cfRule>
  </conditionalFormatting>
  <conditionalFormatting sqref="E134">
    <cfRule type="expression" dxfId="50" priority="91">
      <formula>E134&lt;&gt;""</formula>
    </cfRule>
  </conditionalFormatting>
  <conditionalFormatting sqref="C133:D133">
    <cfRule type="containsText" dxfId="49" priority="90" operator="containsText" text="NO+$D$4:$D$10">
      <formula>NOT(ISERROR(SEARCH("NO+$D$4:$D$10",C133)))</formula>
    </cfRule>
  </conditionalFormatting>
  <conditionalFormatting sqref="C133:D133">
    <cfRule type="containsText" dxfId="48" priority="88" operator="containsText" text="SI">
      <formula>NOT(ISERROR(SEARCH("SI",C133)))</formula>
    </cfRule>
    <cfRule type="containsText" dxfId="47" priority="89" operator="containsText" text="NO">
      <formula>NOT(ISERROR(SEARCH("NO",C133)))</formula>
    </cfRule>
  </conditionalFormatting>
  <conditionalFormatting sqref="C133:D133">
    <cfRule type="containsText" dxfId="46" priority="87" operator="containsText" text="NUEVO">
      <formula>NOT(ISERROR(SEARCH("NUEVO",C133)))</formula>
    </cfRule>
  </conditionalFormatting>
  <conditionalFormatting sqref="I133:J133">
    <cfRule type="expression" dxfId="45" priority="86">
      <formula>OR(I133&lt;&gt;"", J133&lt;&gt;"")</formula>
    </cfRule>
  </conditionalFormatting>
  <conditionalFormatting sqref="G133">
    <cfRule type="expression" dxfId="44" priority="85">
      <formula>G133&lt;&gt;""</formula>
    </cfRule>
  </conditionalFormatting>
  <conditionalFormatting sqref="F133">
    <cfRule type="expression" dxfId="43" priority="84">
      <formula>F133&lt;&gt;""</formula>
    </cfRule>
  </conditionalFormatting>
  <conditionalFormatting sqref="E133">
    <cfRule type="containsText" dxfId="42" priority="83" operator="containsText" text="NUEVO">
      <formula>NOT(ISERROR(SEARCH("NUEVO",E133)))</formula>
    </cfRule>
  </conditionalFormatting>
  <conditionalFormatting sqref="E133">
    <cfRule type="containsText" dxfId="41" priority="82" operator="containsText" text="Sin Información">
      <formula>NOT(ISERROR(SEARCH("Sin Información",E133)))</formula>
    </cfRule>
  </conditionalFormatting>
  <conditionalFormatting sqref="E133">
    <cfRule type="expression" dxfId="40" priority="81">
      <formula>E133&lt;&gt;""</formula>
    </cfRule>
  </conditionalFormatting>
  <conditionalFormatting sqref="C141:D142">
    <cfRule type="containsText" dxfId="39" priority="80" operator="containsText" text="NO+$D$4:$D$10">
      <formula>NOT(ISERROR(SEARCH("NO+$D$4:$D$10",C141)))</formula>
    </cfRule>
  </conditionalFormatting>
  <conditionalFormatting sqref="C141:D142">
    <cfRule type="containsText" dxfId="38" priority="78" operator="containsText" text="SI">
      <formula>NOT(ISERROR(SEARCH("SI",C141)))</formula>
    </cfRule>
    <cfRule type="containsText" dxfId="37" priority="79" operator="containsText" text="NO">
      <formula>NOT(ISERROR(SEARCH("NO",C141)))</formula>
    </cfRule>
  </conditionalFormatting>
  <conditionalFormatting sqref="C140:D140">
    <cfRule type="containsText" dxfId="36" priority="70" operator="containsText" text="NO+$D$4:$D$10">
      <formula>NOT(ISERROR(SEARCH("NO+$D$4:$D$10",C140)))</formula>
    </cfRule>
  </conditionalFormatting>
  <conditionalFormatting sqref="C140:D140">
    <cfRule type="containsText" dxfId="35" priority="68" operator="containsText" text="SI">
      <formula>NOT(ISERROR(SEARCH("SI",C140)))</formula>
    </cfRule>
    <cfRule type="containsText" dxfId="34" priority="69" operator="containsText" text="NO">
      <formula>NOT(ISERROR(SEARCH("NO",C140)))</formula>
    </cfRule>
  </conditionalFormatting>
  <conditionalFormatting sqref="C141:D142">
    <cfRule type="containsText" dxfId="33" priority="77" operator="containsText" text="NUEVO">
      <formula>NOT(ISERROR(SEARCH("NUEVO",C141)))</formula>
    </cfRule>
  </conditionalFormatting>
  <conditionalFormatting sqref="I141:J142">
    <cfRule type="expression" dxfId="32" priority="76">
      <formula>OR(I141&lt;&gt;"", J141&lt;&gt;"")</formula>
    </cfRule>
  </conditionalFormatting>
  <conditionalFormatting sqref="G141:G142">
    <cfRule type="expression" dxfId="31" priority="75">
      <formula>G141&lt;&gt;""</formula>
    </cfRule>
  </conditionalFormatting>
  <conditionalFormatting sqref="F141:F142">
    <cfRule type="expression" dxfId="30" priority="74">
      <formula>F141&lt;&gt;""</formula>
    </cfRule>
  </conditionalFormatting>
  <conditionalFormatting sqref="E141:E142">
    <cfRule type="containsText" dxfId="29" priority="73" operator="containsText" text="NUEVO">
      <formula>NOT(ISERROR(SEARCH("NUEVO",E141)))</formula>
    </cfRule>
  </conditionalFormatting>
  <conditionalFormatting sqref="E141:E142">
    <cfRule type="containsText" dxfId="28" priority="72" operator="containsText" text="Sin Información">
      <formula>NOT(ISERROR(SEARCH("Sin Información",E141)))</formula>
    </cfRule>
  </conditionalFormatting>
  <conditionalFormatting sqref="E141:E142">
    <cfRule type="expression" dxfId="27" priority="71">
      <formula>E141&lt;&gt;""</formula>
    </cfRule>
  </conditionalFormatting>
  <conditionalFormatting sqref="C139:D139">
    <cfRule type="containsText" dxfId="26" priority="60" operator="containsText" text="NO+$D$4:$D$10">
      <formula>NOT(ISERROR(SEARCH("NO+$D$4:$D$10",C139)))</formula>
    </cfRule>
  </conditionalFormatting>
  <conditionalFormatting sqref="C139:D139">
    <cfRule type="containsText" dxfId="25" priority="58" operator="containsText" text="SI">
      <formula>NOT(ISERROR(SEARCH("SI",C139)))</formula>
    </cfRule>
    <cfRule type="containsText" dxfId="24" priority="59" operator="containsText" text="NO">
      <formula>NOT(ISERROR(SEARCH("NO",C139)))</formula>
    </cfRule>
  </conditionalFormatting>
  <conditionalFormatting sqref="C140:D140">
    <cfRule type="containsText" dxfId="23" priority="67" operator="containsText" text="NUEVO">
      <formula>NOT(ISERROR(SEARCH("NUEVO",C140)))</formula>
    </cfRule>
  </conditionalFormatting>
  <conditionalFormatting sqref="I140:J140">
    <cfRule type="expression" dxfId="22" priority="66">
      <formula>OR(I140&lt;&gt;"", J140&lt;&gt;"")</formula>
    </cfRule>
  </conditionalFormatting>
  <conditionalFormatting sqref="G140">
    <cfRule type="expression" dxfId="21" priority="65">
      <formula>G140&lt;&gt;""</formula>
    </cfRule>
  </conditionalFormatting>
  <conditionalFormatting sqref="F140">
    <cfRule type="expression" dxfId="20" priority="64">
      <formula>F140&lt;&gt;""</formula>
    </cfRule>
  </conditionalFormatting>
  <conditionalFormatting sqref="E140">
    <cfRule type="containsText" dxfId="19" priority="63" operator="containsText" text="NUEVO">
      <formula>NOT(ISERROR(SEARCH("NUEVO",E140)))</formula>
    </cfRule>
  </conditionalFormatting>
  <conditionalFormatting sqref="E140">
    <cfRule type="containsText" dxfId="18" priority="62" operator="containsText" text="Sin Información">
      <formula>NOT(ISERROR(SEARCH("Sin Información",E140)))</formula>
    </cfRule>
  </conditionalFormatting>
  <conditionalFormatting sqref="E140">
    <cfRule type="expression" dxfId="17" priority="61">
      <formula>E140&lt;&gt;""</formula>
    </cfRule>
  </conditionalFormatting>
  <conditionalFormatting sqref="C138:D138">
    <cfRule type="containsText" dxfId="16" priority="50" operator="containsText" text="NO+$D$4:$D$10">
      <formula>NOT(ISERROR(SEARCH("NO+$D$4:$D$10",C138)))</formula>
    </cfRule>
  </conditionalFormatting>
  <conditionalFormatting sqref="C138:D138">
    <cfRule type="containsText" dxfId="15" priority="48" operator="containsText" text="SI">
      <formula>NOT(ISERROR(SEARCH("SI",C138)))</formula>
    </cfRule>
    <cfRule type="containsText" dxfId="14" priority="49" operator="containsText" text="NO">
      <formula>NOT(ISERROR(SEARCH("NO",C138)))</formula>
    </cfRule>
  </conditionalFormatting>
  <conditionalFormatting sqref="C139:D139">
    <cfRule type="containsText" dxfId="13" priority="57" operator="containsText" text="NUEVO">
      <formula>NOT(ISERROR(SEARCH("NUEVO",C139)))</formula>
    </cfRule>
  </conditionalFormatting>
  <conditionalFormatting sqref="I139:J139">
    <cfRule type="expression" dxfId="12" priority="56">
      <formula>OR(I139&lt;&gt;"", J139&lt;&gt;"")</formula>
    </cfRule>
  </conditionalFormatting>
  <conditionalFormatting sqref="G139">
    <cfRule type="expression" dxfId="11" priority="55">
      <formula>G139&lt;&gt;""</formula>
    </cfRule>
  </conditionalFormatting>
  <conditionalFormatting sqref="F139">
    <cfRule type="expression" dxfId="10" priority="54">
      <formula>F139&lt;&gt;""</formula>
    </cfRule>
  </conditionalFormatting>
  <conditionalFormatting sqref="E139">
    <cfRule type="containsText" dxfId="9" priority="53" operator="containsText" text="NUEVO">
      <formula>NOT(ISERROR(SEARCH("NUEVO",E139)))</formula>
    </cfRule>
  </conditionalFormatting>
  <conditionalFormatting sqref="E139">
    <cfRule type="containsText" dxfId="8" priority="52" operator="containsText" text="Sin Información">
      <formula>NOT(ISERROR(SEARCH("Sin Información",E139)))</formula>
    </cfRule>
  </conditionalFormatting>
  <conditionalFormatting sqref="E139">
    <cfRule type="expression" dxfId="7" priority="51">
      <formula>E139&lt;&gt;""</formula>
    </cfRule>
  </conditionalFormatting>
  <conditionalFormatting sqref="C138:D138">
    <cfRule type="containsText" dxfId="6" priority="47" operator="containsText" text="NUEVO">
      <formula>NOT(ISERROR(SEARCH("NUEVO",C138)))</formula>
    </cfRule>
  </conditionalFormatting>
  <conditionalFormatting sqref="I138:J138">
    <cfRule type="expression" dxfId="5" priority="46">
      <formula>OR(I138&lt;&gt;"", J138&lt;&gt;"")</formula>
    </cfRule>
  </conditionalFormatting>
  <conditionalFormatting sqref="G138">
    <cfRule type="expression" dxfId="4" priority="45">
      <formula>G138&lt;&gt;""</formula>
    </cfRule>
  </conditionalFormatting>
  <conditionalFormatting sqref="F138">
    <cfRule type="expression" dxfId="3" priority="44">
      <formula>F138&lt;&gt;""</formula>
    </cfRule>
  </conditionalFormatting>
  <conditionalFormatting sqref="E138">
    <cfRule type="containsText" dxfId="2" priority="43" operator="containsText" text="NUEVO">
      <formula>NOT(ISERROR(SEARCH("NUEVO",E138)))</formula>
    </cfRule>
  </conditionalFormatting>
  <conditionalFormatting sqref="E138">
    <cfRule type="containsText" dxfId="1" priority="42" operator="containsText" text="Sin Información">
      <formula>NOT(ISERROR(SEARCH("Sin Información",E138)))</formula>
    </cfRule>
  </conditionalFormatting>
  <conditionalFormatting sqref="E138">
    <cfRule type="expression" dxfId="0" priority="41">
      <formula>E138&lt;&gt;""</formula>
    </cfRule>
  </conditionalFormatting>
  <hyperlinks>
    <hyperlink ref="G118" r:id="rId1" display="+584126558931" xr:uid="{3D099BAB-44C7-4D0D-82CB-BCFB71826429}"/>
    <hyperlink ref="G76" r:id="rId2" display="+584122838159" xr:uid="{23F8A5DF-0D37-4B53-9725-27F73890B58C}"/>
    <hyperlink ref="G119" r:id="rId3" display="+584126558731" xr:uid="{ED4303E5-48BC-4821-A7A8-10DA6907F3C1}"/>
    <hyperlink ref="G120" r:id="rId4" display="+584126558731" xr:uid="{D8D61C09-AA93-4595-BF1F-3C2837125340}"/>
    <hyperlink ref="G121" r:id="rId5" display="+584246553570" xr:uid="{F2A69295-6C84-414D-8CF9-FB3E4A743B17}"/>
    <hyperlink ref="G43" r:id="rId6" display="+584146521838" xr:uid="{6C0791B9-B092-4850-B164-5E24BF8A3C2E}"/>
    <hyperlink ref="G62" r:id="rId7" display="+584127336868" xr:uid="{F2914849-B0D3-4AF1-94EC-19B02099B7A9}"/>
  </hyperlinks>
  <pageMargins left="0.7" right="0.7" top="0.75" bottom="0.75" header="0.3" footer="0.3"/>
  <pageSetup paperSize="9" orientation="portrait" r:id="rId8"/>
  <drawing r:id="rId9"/>
  <legacyDrawing r:id="rId1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N226:O226 AD276:AE276 C23:D143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E23:E143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119" t="s">
        <v>4</v>
      </c>
      <c r="B1" s="119"/>
      <c r="D1" s="51" t="s">
        <v>73</v>
      </c>
    </row>
    <row r="2" spans="1:4" x14ac:dyDescent="0.25">
      <c r="A2" s="1" t="s">
        <v>5</v>
      </c>
      <c r="B2" s="1" t="s">
        <v>5</v>
      </c>
      <c r="D2" s="51" t="s">
        <v>8</v>
      </c>
    </row>
    <row r="3" spans="1:4" x14ac:dyDescent="0.25">
      <c r="A3" s="1" t="s">
        <v>6</v>
      </c>
      <c r="B3" s="1" t="s">
        <v>6</v>
      </c>
      <c r="D3" s="51" t="s">
        <v>52</v>
      </c>
    </row>
    <row r="4" spans="1:4" x14ac:dyDescent="0.25">
      <c r="A4" s="2" t="s">
        <v>63</v>
      </c>
      <c r="D4" s="51" t="s">
        <v>30</v>
      </c>
    </row>
    <row r="5" spans="1:4" x14ac:dyDescent="0.25">
      <c r="D5" s="51" t="s">
        <v>29</v>
      </c>
    </row>
    <row r="6" spans="1:4" x14ac:dyDescent="0.25">
      <c r="D6" s="51" t="s">
        <v>23</v>
      </c>
    </row>
    <row r="7" spans="1:4" x14ac:dyDescent="0.25">
      <c r="D7" s="51" t="s">
        <v>63</v>
      </c>
    </row>
    <row r="8" spans="1:4" x14ac:dyDescent="0.25">
      <c r="D8" s="51" t="s">
        <v>28</v>
      </c>
    </row>
    <row r="9" spans="1:4" x14ac:dyDescent="0.25">
      <c r="B9" s="15"/>
      <c r="D9" s="51" t="s">
        <v>21</v>
      </c>
    </row>
    <row r="10" spans="1:4" x14ac:dyDescent="0.25">
      <c r="D10" s="51" t="s">
        <v>61</v>
      </c>
    </row>
    <row r="11" spans="1:4" x14ac:dyDescent="0.25">
      <c r="D11" s="51" t="s">
        <v>59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121"/>
      <c r="B1" s="121"/>
      <c r="C1" s="121"/>
    </row>
    <row r="2" spans="1:3" ht="42.75" customHeight="1" x14ac:dyDescent="0.25">
      <c r="A2" s="121" t="s">
        <v>34</v>
      </c>
      <c r="B2" s="121"/>
      <c r="C2" s="121"/>
    </row>
    <row r="3" spans="1:3" x14ac:dyDescent="0.25">
      <c r="A3" s="30" t="s">
        <v>35</v>
      </c>
    </row>
    <row r="4" spans="1:3" x14ac:dyDescent="0.25">
      <c r="A4" s="30" t="s">
        <v>36</v>
      </c>
    </row>
    <row r="5" spans="1:3" x14ac:dyDescent="0.25">
      <c r="A5" s="30" t="s">
        <v>37</v>
      </c>
    </row>
    <row r="6" spans="1:3" x14ac:dyDescent="0.25">
      <c r="A6" t="s">
        <v>38</v>
      </c>
    </row>
    <row r="7" spans="1:3" x14ac:dyDescent="0.25">
      <c r="A7" t="s">
        <v>40</v>
      </c>
    </row>
    <row r="8" spans="1:3" x14ac:dyDescent="0.25">
      <c r="A8" t="s">
        <v>41</v>
      </c>
      <c r="C8" t="s">
        <v>39</v>
      </c>
    </row>
    <row r="9" spans="1:3" x14ac:dyDescent="0.25">
      <c r="A9" t="s">
        <v>42</v>
      </c>
      <c r="C9" t="s">
        <v>39</v>
      </c>
    </row>
    <row r="10" spans="1:3" x14ac:dyDescent="0.25">
      <c r="A10" t="s">
        <v>43</v>
      </c>
      <c r="C10" t="s">
        <v>39</v>
      </c>
    </row>
    <row r="11" spans="1:3" x14ac:dyDescent="0.25">
      <c r="A11" t="s">
        <v>44</v>
      </c>
      <c r="C11" t="s">
        <v>39</v>
      </c>
    </row>
    <row r="12" spans="1:3" x14ac:dyDescent="0.25">
      <c r="A12" t="s">
        <v>45</v>
      </c>
      <c r="C12" t="s">
        <v>39</v>
      </c>
    </row>
    <row r="13" spans="1:3" x14ac:dyDescent="0.25">
      <c r="A13" t="s">
        <v>46</v>
      </c>
      <c r="C13" t="s">
        <v>39</v>
      </c>
    </row>
    <row r="14" spans="1:3" x14ac:dyDescent="0.25">
      <c r="A14" t="s">
        <v>47</v>
      </c>
      <c r="C14" t="s">
        <v>39</v>
      </c>
    </row>
    <row r="15" spans="1:3" x14ac:dyDescent="0.25">
      <c r="A15" t="s">
        <v>48</v>
      </c>
      <c r="C15" t="s">
        <v>39</v>
      </c>
    </row>
    <row r="16" spans="1:3" x14ac:dyDescent="0.25">
      <c r="A16" t="s">
        <v>49</v>
      </c>
    </row>
    <row r="17" spans="1:3" ht="75" customHeight="1" x14ac:dyDescent="0.25">
      <c r="A17" s="120" t="s">
        <v>50</v>
      </c>
      <c r="B17" s="120"/>
      <c r="C17" s="31" t="s">
        <v>39</v>
      </c>
    </row>
    <row r="18" spans="1:3" ht="45" customHeight="1" x14ac:dyDescent="0.25">
      <c r="A18" s="120" t="s">
        <v>51</v>
      </c>
      <c r="B18" s="120"/>
      <c r="C18" s="31" t="s">
        <v>39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060"/>
  <sheetViews>
    <sheetView zoomScale="85" zoomScaleNormal="85" workbookViewId="0">
      <selection activeCell="C13" sqref="C13"/>
    </sheetView>
  </sheetViews>
  <sheetFormatPr baseColWidth="10" defaultRowHeight="15" x14ac:dyDescent="0.25"/>
  <cols>
    <col min="2" max="2" width="24.42578125" customWidth="1"/>
    <col min="6" max="6" width="11.42578125" style="45"/>
    <col min="7" max="7" width="12.5703125" style="43" customWidth="1"/>
  </cols>
  <sheetData>
    <row r="1" spans="1:7" x14ac:dyDescent="0.25">
      <c r="A1" s="44" t="s">
        <v>77</v>
      </c>
      <c r="C1" s="58"/>
      <c r="D1" s="58"/>
      <c r="E1" s="58"/>
      <c r="F1" s="58"/>
      <c r="G1" s="59"/>
    </row>
    <row r="3" spans="1:7" x14ac:dyDescent="0.25">
      <c r="A3" s="44"/>
    </row>
    <row r="205" ht="14.25" customHeight="1" x14ac:dyDescent="0.25"/>
    <row r="206" ht="15" customHeight="1" x14ac:dyDescent="0.25"/>
    <row r="374" ht="14.25" customHeight="1" x14ac:dyDescent="0.25"/>
    <row r="598" spans="9:10" ht="15" customHeight="1" x14ac:dyDescent="0.25">
      <c r="I598" s="48"/>
      <c r="J598" s="48"/>
    </row>
    <row r="599" spans="9:10" ht="15" customHeight="1" x14ac:dyDescent="0.25">
      <c r="I599" s="48"/>
      <c r="J599" s="48"/>
    </row>
    <row r="600" spans="9:10" ht="15" customHeight="1" x14ac:dyDescent="0.25">
      <c r="I600" s="48"/>
      <c r="J600" s="48"/>
    </row>
    <row r="601" spans="9:10" ht="15" customHeight="1" x14ac:dyDescent="0.25">
      <c r="I601" s="48"/>
      <c r="J601" s="48"/>
    </row>
    <row r="602" spans="9:10" ht="15" customHeight="1" x14ac:dyDescent="0.25">
      <c r="I602" s="48"/>
      <c r="J602" s="48"/>
    </row>
    <row r="603" spans="9:10" ht="15" customHeight="1" x14ac:dyDescent="0.25">
      <c r="I603" s="48"/>
      <c r="J603" s="48"/>
    </row>
    <row r="604" spans="9:10" ht="15" customHeight="1" x14ac:dyDescent="0.25">
      <c r="I604" s="48"/>
      <c r="J604" s="48"/>
    </row>
    <row r="605" spans="9:10" ht="15" customHeight="1" x14ac:dyDescent="0.25">
      <c r="I605" s="48"/>
      <c r="J605" s="48"/>
    </row>
    <row r="606" spans="9:10" ht="15" customHeight="1" x14ac:dyDescent="0.25">
      <c r="I606" s="48"/>
      <c r="J606" s="48"/>
    </row>
    <row r="607" spans="9:10" ht="15" customHeight="1" x14ac:dyDescent="0.25">
      <c r="I607" s="48"/>
      <c r="J607" s="48"/>
    </row>
    <row r="608" spans="9:10" ht="15" customHeight="1" x14ac:dyDescent="0.25">
      <c r="I608" s="48"/>
      <c r="J608" s="48"/>
    </row>
    <row r="609" spans="9:10" ht="15" customHeight="1" x14ac:dyDescent="0.25">
      <c r="I609" s="48"/>
      <c r="J609" s="48"/>
    </row>
    <row r="610" spans="9:10" ht="15" customHeight="1" x14ac:dyDescent="0.25">
      <c r="I610" s="48"/>
      <c r="J610" s="48"/>
    </row>
    <row r="626" ht="14.25" customHeight="1" x14ac:dyDescent="0.25"/>
    <row r="1060" ht="14.25" customHeight="1" x14ac:dyDescent="0.25"/>
  </sheetData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10-07-2026 A 16-08-2026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2026-08-18T03:01:30Z</dcterms:modified>
</cp:coreProperties>
</file>